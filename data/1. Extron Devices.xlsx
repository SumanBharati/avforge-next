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76b0e208e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on devices" sheetId="1" r:id="Rddc5dd7874f74ddd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<x:sst xmlns:x="http://schemas.openxmlformats.org/spreadsheetml/2006/main">
  <x:si>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</x:si>
  <x:si>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Manufacturer</x:t>
  </x:si>
  <x:si>
    <x:t xml:space="preserve">Model</x:t>
  </x:si>
  <x:si>
    <x:t xml:space="preserve">Part</x:t>
  </x:si>
  <x:si>
    <x:t xml:space="preserve">MSRP</x:t>
  </x:si>
  <x:si>
    <x:t xml:space="preserve">Cost</x:t>
  </x:si>
  <x:si>
    <x:t xml:space="preserve">Price</x:t>
  </x:si>
  <x:si>
    <x:t xml:space="preserve">Margin</x:t>
  </x:si>
  <x:si>
    <x:t xml:space="preserve">Markup</x:t>
  </x:si>
  <x:si>
    <x:t xml:space="preserve">Color</x:t>
  </x:si>
  <x:si>
    <x:t xml:space="preserve">Ports</x:t>
  </x:si>
  <x:si>
    <x:t xml:space="preserve">Height</x:t>
  </x:si>
  <x:si>
    <x:t xml:space="preserve">Width</x:t>
  </x:si>
  <x:si>
    <x:t xml:space="preserve">Depth</x:t>
  </x:si>
  <x:si>
    <x:t xml:space="preserve">Diameter</x:t>
  </x:si>
  <x:si>
    <x:t xml:space="preserve">Weight</x:t>
  </x:si>
  <x:si>
    <x:t xml:space="preserve">Rack Mountable</x:t>
  </x:si>
  <x:si>
    <x:t xml:space="preserve">Rack Ear Included</x:t>
  </x:si>
  <x:si>
    <x:t xml:space="preserve">Shelf Requirement</x:t>
  </x:si>
  <x:si>
    <x:t xml:space="preserve">Rack Units</x:t>
  </x:si>
  <x:si>
    <x:t xml:space="preserve">Voltage</x:t>
  </x:si>
  <x:si>
    <x:t xml:space="preserve">Current (Amps)</x:t>
  </x:si>
  <x:si>
    <x:t xml:space="preserve">Power Consumption</x:t>
  </x:si>
  <x:si>
    <x:t xml:space="preserve">BTU/hr</x:t>
  </x:si>
  <x:si>
    <x:t xml:space="preserve">Power Supply Type</x:t>
  </x:si>
  <x:si>
    <x:t xml:space="preserve">Notes</x:t>
  </x:si>
  <x:si>
    <x:t xml:space="preserve">Source</x:t>
  </x:si>
  <x:si>
    <x:t xml:space="preserve">Extron</x:t>
  </x:si>
  <x:si>
    <x:t xml:space="preserve">SMP 111</x:t>
  </x:si>
  <x:si>
    <x:t xml:space="preserve">60-1594-01</x:t>
  </x:si>
  <x:si>
    <x:t xml:space="preserve">#dce6f1</x:t>
  </x:si>
  <x:si>
    <x:t xml:space="preserve">left:HDMI:HDMI In|left:BNC:SDI In|right:RJ-45:Stream Out</x:t>
  </x:si>
  <x:si>
    <x:t xml:space="preserve">1.66”</x:t>
  </x:si>
  <x:si>
    <x:t xml:space="preserve">8.68”</x:t>
  </x:si>
  <x:si>
    <x:t xml:space="preserve">9.5”</x:t>
  </x:si>
  <x:si>
    <x:t xml:space="preserve">2.5 lb</x:t>
  </x:si>
  <x:si>
    <x:t xml:space="preserve">Yes — rack shelf mountable</x:t>
  </x:si>
  <x:si>
    <x:t xml:space="preserve">No — not included</x:t>
  </x:si>
  <x:si>
    <x:t xml:space="preserve">Yes — required for rack installation</x:t>
  </x:si>
  <x:si>
    <x:t xml:space="preserve">1</x:t>
  </x:si>
  <x:si>
    <x:t xml:space="preserve">100–240 VAC, 50/60 Hz</x:t>
  </x:si>
  <x:si>
    <x:t xml:space="preserve">1.0 A max @ 100 VAC</x:t>
  </x:si>
  <x:si>
    <x:t xml:space="preserve">Internal AC power supply</x:t>
  </x:si>
  <x:si>
    <x:t xml:space="preserve">ShareLink Pro 2500</x:t>
  </x:si>
  <x:si>
    <x:t xml:space="preserve">60-1970-01</x:t>
  </x:si>
  <x:si>
    <x:t xml:space="preserve">left:RJ-45:Network (AV LAN)|left:RJ-45:Network (Corp LAN)|left:HDMI:HDMI In (Signage)|right:HDMI:HDMI Out 1|right:HDMI:HDMI Out 2|right:USB-B:USB (ConferenceShare)</x:t>
  </x:si>
  <x:si>
    <x:t xml:space="preserve">1.0”</x:t>
  </x:si>
  <x:si>
    <x:t xml:space="preserve">8.75”</x:t>
  </x:si>
  <x:si>
    <x:t xml:space="preserve">6.0”</x:t>
  </x:si>
  <x:si>
    <x:t xml:space="preserve">2.0 lb</x:t>
  </x:si>
  <x:si>
    <x:t xml:space="preserve">Switcher</x:t>
  </x:si>
  <x:si>
    <x:t xml:space="preserve">DTP3 CrossPoint 42</x:t>
  </x:si>
  <x:si>
    <x:t xml:space="preserve">60-1925-02</x:t>
  </x:si>
  <x:si>
    <x:t xml:space="preserve">#fce4d6</x:t>
  </x:si>
  <x:si>
    <x:t xml:space="preserve">left:HDMI:HDMI In 1|left:HDMI:HDMI In 2|left:RJ-45:DTP3 In 3-4|left:RJ-45:Dante In|left:USB-B:USB Audio|right:HDMI:HDMI Out|right:RJ-45:DTP3 Out 1|right:RJ-45:DTP3 Out 2|right:Captive Screw:Amp Out|right:RJ-45:Dante Out</x:t>
  </x:si>
  <x:si>
    <x:t xml:space="preserve">1.75”</x:t>
  </x:si>
  <x:si>
    <x:t xml:space="preserve">8.7”</x:t>
  </x:si>
  <x:si>
    <x:t xml:space="preserve">11.2”</x:t>
  </x:si>
  <x:si>
    <x:t xml:space="preserve">5.0 lb</x:t>
  </x:si>
  <x:si>
    <x:t xml:space="preserve">DTP3 CrossPoint 622</x:t>
  </x:si>
  <x:si>
    <x:t xml:space="preserve">60-1570-01</x:t>
  </x:si>
  <x:si>
    <x:t xml:space="preserve">left:HDMI:HDMI In 1-2|left:RJ-45:DTP3 In 3-4|left:RJ-45:DTP3 Reversible 1-2|left:RJ-45:Dante In (32ch)|left:USB-B:USB Audio|right:HDMI:HDMI Out 1-2|right:RJ-45:DTP3 Out 1-2|right:Captive Screw:Amp (100W Stereo)|right:RJ-45:Dante Out (16ch)|right:RJ-45:EXP to DMP</x:t>
  </x:si>
  <x:si>
    <x:t xml:space="preserve">3.5”</x:t>
  </x:si>
  <x:si>
    <x:t xml:space="preserve">17.5”</x:t>
  </x:si>
  <x:si>
    <x:t xml:space="preserve">15.0”</x:t>
  </x:si>
  <x:si>
    <x:t xml:space="preserve">18.0 lb</x:t>
  </x:si>
  <x:si>
    <x:t xml:space="preserve">Yes — direct rack mount</x:t>
  </x:si>
  <x:si>
    <x:t xml:space="preserve">Yes — included</x:t>
  </x:si>
  <x:si>
    <x:t xml:space="preserve">No — shelf not required</x:t>
  </x:si>
  <x:si>
    <x:t xml:space="preserve">2</x:t>
  </x:si>
  <x:si>
    <x:t xml:space="preserve">2.5 A max @ 100 VAC</x:t>
  </x:si>
  <x:si>
    <x:t xml:space="preserve">DTP3 CrossPoint 642</x:t>
  </x:si>
  <x:si>
    <x:t xml:space="preserve">60-1661-01</x:t>
  </x:si>
  <x:si>
    <x:t xml:space="preserve">left:HDMI:HDMI In 1-2|left:RJ-45:DTP3 In 3-4|left:RJ-45:DTP3 Reversible 1-2|left:RJ-45:Dante In (32ch)|left:USB-B:USB Audio|right:HDMI:HDMI Out 1-2|right:RJ-45:DTP3 Out 1-4|right:Captive Screw:Amp (100W Stereo)|right:RJ-45:Dante Out (16ch)|right:RJ-45:EXP to DMP</x:t>
  </x:si>
  <x:si>
    <x:t xml:space="preserve">DTP3 CrossPoint 662</x:t>
  </x:si>
  <x:si>
    <x:t xml:space="preserve">60-1694-01</x:t>
  </x:si>
  <x:si>
    <x:t xml:space="preserve">left:HDMI:HDMI In 1-2|left:RJ-45:DTP3 In 3-4|left:RJ-45:DTP3 Reversible 1-2|left:RJ-45:Dante In (32ch)|left:USB-B:USB Audio|right:HDMI:HDMI Out 1-2|right:RJ-45:DTP3 Out 1-6|right:Captive Screw:Amp (100W Stereo)|right:RJ-45:Dante Out (16ch)|right:RJ-45:EXP to DMP</x:t>
  </x:si>
  <x:si>
    <x:t xml:space="preserve">DTP3 CrossPoint 884</x:t>
  </x:si>
  <x:si>
    <x:t xml:space="preserve">60-1696-01</x:t>
  </x:si>
  <x:si>
    <x:t xml:space="preserve">left:HDMI:HDMI In 1-4|left:RJ-45:DTP3 In 5-8|left:RJ-45:DTP3 Reversible 1-4|left:RJ-45:Dante In (32ch)|left:USB-B:USB Audio|right:HDMI:HDMI Out 1-4|right:RJ-45:DTP3 Out 1-8|right:Captive Screw:Amp (200W Mono 70V)|right:RJ-45:Dante Out (16ch)|right:RJ-45:EXP to DMP</x:t>
  </x:si>
  <x:si>
    <x:t xml:space="preserve">4.0 A max @ 100 VAC</x:t>
  </x:si>
  <x:si>
    <x:t xml:space="preserve">DTP CrossPoint 84 4K</x:t>
  </x:si>
  <x:si>
    <x:t xml:space="preserve">60-1515-01</x:t>
  </x:si>
  <x:si>
    <x:t xml:space="preserve">left:HDMI:HDMI In 1-4|left:RJ-45:DTP In 5-8|left:Captive Screw:Mic/Line (4ch)|left:USB-B:USB Audio|right:HDMI:HDMI Out 1-2|right:RJ-45:DTP Out 1-4|right:Captive Screw:Amp Out|right:RJ-45:EXP</x:t>
  </x:si>
  <x:si>
    <x:t xml:space="preserve">DTP CrossPoint 108 4K</x:t>
  </x:si>
  <x:si>
    <x:t xml:space="preserve">60-1381-01</x:t>
  </x:si>
  <x:si>
    <x:t xml:space="preserve">left:HDMI:HDMI In 1-2|left:RJ-45:DTP In 3-10|left:Captive Screw:Mic/Line (4ch)|left:USB-B:USB Audio|right:HDMI:HDMI Out 1-4|right:RJ-45:DTP Out 1-8|right:Captive Screw:Amp Out|right:RJ-45:EXP</x:t>
  </x:si>
  <x:si>
    <x:t xml:space="preserve">5.25”</x:t>
  </x:si>
  <x:si>
    <x:t xml:space="preserve">26.0 lb</x:t>
  </x:si>
  <x:si>
    <x:t xml:space="preserve">3</x:t>
  </x:si>
  <x:si>
    <x:t xml:space="preserve">XTP II CrossPoint 1600</x:t>
  </x:si>
  <x:si>
    <x:t xml:space="preserve">60-2031-01</x:t>
  </x:si>
  <x:si>
    <x:t xml:space="preserve">left:Card Slot:XTP Input Card Slots 1-4|right:Card Slot:XTP Output Card Slots 5-8|left:RJ-45:LAN|left:USB-B:USB Config</x:t>
  </x:si>
  <x:si>
    <x:t xml:space="preserve">17.0”</x:t>
  </x:si>
  <x:si>
    <x:t xml:space="preserve">24.0 lb</x:t>
  </x:si>
  <x:si>
    <x:t xml:space="preserve">XTP II CrossPoint 3200</x:t>
  </x:si>
  <x:si>
    <x:t xml:space="preserve">60-1981-01</x:t>
  </x:si>
  <x:si>
    <x:t xml:space="preserve">left:Card Slot:XTP Input Card Slots 1-8|right:Card Slot:XTP Output Card Slots 9-16|left:RJ-45:LAN|left:USB-B:USB Config</x:t>
  </x:si>
  <x:si>
    <x:t xml:space="preserve">40.0 lb</x:t>
  </x:si>
  <x:si>
    <x:t xml:space="preserve">5</x:t>
  </x:si>
  <x:si>
    <x:t xml:space="preserve">8.0 A max @ 100 VAC</x:t>
  </x:si>
  <x:si>
    <x:t xml:space="preserve">XTP II CrossPoint 6400</x:t>
  </x:si>
  <x:si>
    <x:t xml:space="preserve">60-1386-01</x:t>
  </x:si>
  <x:si>
    <x:t xml:space="preserve">left:Card Slot:XTP Input Card Slots 1-16|right:Card Slot:XTP Output Card Slots 17-32|left:RJ-45:LAN|left:USB-B:USB Config</x:t>
  </x:si>
  <x:si>
    <x:t xml:space="preserve">14.0”</x:t>
  </x:si>
  <x:si>
    <x:t xml:space="preserve">65.0 lb</x:t>
  </x:si>
  <x:si>
    <x:t xml:space="preserve">8</x:t>
  </x:si>
  <x:si>
    <x:t xml:space="preserve">12.0 A max @ 100 VAC</x:t>
  </x:si>
  <x:si>
    <x:t xml:space="preserve">Internal redundant AC power supplies</x:t>
  </x:si>
  <x:si>
    <x:t xml:space="preserve">6400 frame; input/output cards sold separately.</x:t>
  </x:si>
  <x:si>
    <x:t xml:space="preserve">IN1804</x:t>
  </x:si>
  <x:si>
    <x:t xml:space="preserve">60-1699-11</x:t>
  </x:si>
  <x:si>
    <x:t xml:space="preserve">left:HDMI:HDMI In 1|left:HDMI:HDMI In 2|left:HDMI:HDMI In 3|left:DisplayPort:DP In 4|right:HDMI:HDMI Scaled Out|right:RJ-45:DTP2 Out</x:t>
  </x:si>
  <x:si>
    <x:t xml:space="preserve">3.5 lb</x:t>
  </x:si>
  <x:si>
    <x:t xml:space="preserve">Current scaler SKU selected; the older switcher-only SKU was 60-1699-01.</x:t>
  </x:si>
  <x:si>
    <x:t xml:space="preserve">IN1808</x:t>
  </x:si>
  <x:si>
    <x:t xml:space="preserve">60-1615-01</x:t>
  </x:si>
  <x:si>
    <x:t xml:space="preserve">left:HDMI:HDMI In 1-5|left:RJ-45:DTP In 6-8|left:Captive Screw:Mic/Line In|left:USB-B:USB Audio|right:HDMI:HDMI Loop|right:HDMI:HDMI Scaled|right:RJ-45:DTP Out|right:Captive Screw:Audio Out</x:t>
  </x:si>
  <x:si>
    <x:t xml:space="preserve">12.0”</x:t>
  </x:si>
  <x:si>
    <x:t xml:space="preserve">8.0 lb</x:t>
  </x:si>
  <x:si>
    <x:t xml:space="preserve">DTP3 IN2004</x:t>
  </x:si>
  <x:si>
    <x:t xml:space="preserve">60-1962-03</x:t>
  </x:si>
  <x:si>
    <x:t xml:space="preserve">left:HDMI:HDMI In 1|left:HDMI:HDMI In 2|left:RJ-45:DTP3 In 3|left:RJ-45:DTP3 In 4|right:HDMI:HDMI Scaled Out|right:RJ-45:DTP3 Out</x:t>
  </x:si>
  <x:si>
    <x:t xml:space="preserve">10.5”</x:t>
  </x:si>
  <x:si>
    <x:t xml:space="preserve">4.0 lb</x:t>
  </x:si>
  <x:si>
    <x:t xml:space="preserve">DI/DO variant selected from listed DTP3 input and output ports.</x:t>
  </x:si>
  <x:si>
    <x:t xml:space="preserve">Distribution Amplifier</x:t>
  </x:si>
  <x:si>
    <x:t xml:space="preserve">SW2 HD 8K</x:t>
  </x:si>
  <x:si>
    <x:t xml:space="preserve">60-1985-01</x:t>
  </x:si>
  <x:si>
    <x:t xml:space="preserve">#e2f0d9</x:t>
  </x:si>
  <x:si>
    <x:t xml:space="preserve">left:HDMI:HDMI In 1|left:HDMI:HDMI In 2|right:HDMI:HDMI Out|right:Captive Screw:Audio De-embed</x:t>
  </x:si>
  <x:si>
    <x:t xml:space="preserve">4.3”</x:t>
  </x:si>
  <x:si>
    <x:t xml:space="preserve">1.0 lb</x:t>
  </x:si>
  <x:si>
    <x:t xml:space="preserve">12 VDC</x:t>
  </x:si>
  <x:si>
    <x:t xml:space="preserve">1.0 A max</x:t>
  </x:si>
  <x:si>
    <x:t xml:space="preserve">External DC power supply</x:t>
  </x:si>
  <x:si>
    <x:t xml:space="preserve">Transmitter</x:t>
  </x:si>
  <x:si>
    <x:t xml:space="preserve">DTP3 T 202</x:t>
  </x:si>
  <x:si>
    <x:t xml:space="preserve">60-1869-62</x:t>
  </x:si>
  <x:si>
    <x:t xml:space="preserve">#fff2cc</x:t>
  </x:si>
  <x:si>
    <x:t xml:space="preserve">left:HDMI:HDMI In|right:HDMI:HDMI Loop|right:RJ-45:DTP3 Out|right:Captive Screw:RS-232</x:t>
  </x:si>
  <x:si>
    <x:t xml:space="preserve">External DC or remote DTP/XTP power</x:t>
  </x:si>
  <x:si>
    <x:t xml:space="preserve">Current 2026 SKU selected; legacy SKU was 60-1869-52.</x:t>
  </x:si>
  <x:si>
    <x:t xml:space="preserve">Receiver</x:t>
  </x:si>
  <x:si>
    <x:t xml:space="preserve">DTP3 R 201</x:t>
  </x:si>
  <x:si>
    <x:t xml:space="preserve">60-1869-63</x:t>
  </x:si>
  <x:si>
    <x:t xml:space="preserve">#ddebf7</x:t>
  </x:si>
  <x:si>
    <x:t xml:space="preserve">left:RJ-45:DTP3 In|right:HDMI:HDMI Out|right:Captive Screw:RS-232</x:t>
  </x:si>
  <x:si>
    <x:t xml:space="preserve">Current 2026 SKU selected; legacy SKU was 60-1869-53.</x:t>
  </x:si>
  <x:si>
    <x:t xml:space="preserve">DTP3 R 201 D</x:t>
  </x:si>
  <x:si>
    <x:t xml:space="preserve">60-2072-52</x:t>
  </x:si>
  <x:si>
    <x:t xml:space="preserve">4.5”</x:t>
  </x:si>
  <x:si>
    <x:t xml:space="preserve">2.8”</x:t>
  </x:si>
  <x:si>
    <x:t xml:space="preserve">2.0”</x:t>
  </x:si>
  <x:si>
    <x:t xml:space="preserve">0.8 lb</x:t>
  </x:si>
  <x:si>
    <x:t xml:space="preserve">No — wallplate/architectural device</x:t>
  </x:si>
  <x:si>
    <x:t xml:space="preserve">N/A — not independently rack mounted</x:t>
  </x:si>
  <x:si>
    <x:t xml:space="preserve">N/A — not rack mounted</x:t>
  </x:si>
  <x:si>
    <x:t xml:space="preserve">NA</x:t>
  </x:si>
  <x:si>
    <x:t xml:space="preserve">Black wallplate selected; white is 60-2072-53.</x:t>
  </x:si>
  <x:si>
    <x:t xml:space="preserve">DTP3 T 301</x:t>
  </x:si>
  <x:si>
    <x:t xml:space="preserve">60-1773-52</x:t>
  </x:si>
  <x:si>
    <x:t xml:space="preserve">left:HDMI:HDMI In|left:USB-A:USB Host|left:Captive Screw:Analog Audio In|right:HDMI:HDMI Loop|right:RJ-45:DTP3 Out|right:Captive Screw:RS-232</x:t>
  </x:si>
  <x:si>
    <x:t xml:space="preserve">DTP3 R 301</x:t>
  </x:si>
  <x:si>
    <x:t xml:space="preserve">60-1773-53</x:t>
  </x:si>
  <x:si>
    <x:t xml:space="preserve">left:RJ-45:DTP3 In|right:HDMI:HDMI Out|right:USB:USB Hub (4-port)|right:Captive Screw:Analog Audio Out|right:Captive Screw:RS-232</x:t>
  </x:si>
  <x:si>
    <x:t xml:space="preserve">DTP3 T 331</x:t>
  </x:si>
  <x:si>
    <x:t xml:space="preserve">60-2092-52</x:t>
  </x:si>
  <x:si>
    <x:t xml:space="preserve">left:HDMI:HDMI In|left:USB:USB 2.0 Data|right:RJ-45:DTP3 Out|right:Captive Screw:RS-232</x:t>
  </x:si>
  <x:si>
    <x:t xml:space="preserve">DTP3 R 331</x:t>
  </x:si>
  <x:si>
    <x:t xml:space="preserve">60-2092-53</x:t>
  </x:si>
  <x:si>
    <x:t xml:space="preserve">left:RJ-45:DTP3 In|right:HDMI:HDMI Out|right:USB:USB 2.0 Data|right:Captive Screw:RS-232</x:t>
  </x:si>
  <x:si>
    <x:t xml:space="preserve">DTP3 T 211</x:t>
  </x:si>
  <x:si>
    <x:t xml:space="preserve">60-2070-52</x:t>
  </x:si>
  <x:si>
    <x:t xml:space="preserve">left:USB-C:USB-C In (100W PD)|right:RJ-45:DTP3 Out|right:Captive Screw:RS-232</x:t>
  </x:si>
  <x:si>
    <x:t xml:space="preserve">AVoIP</x:t>
  </x:si>
  <x:si>
    <x:t xml:space="preserve">NAV E 101</x:t>
  </x:si>
  <x:si>
    <x:t xml:space="preserve">60-1525-12</x:t>
  </x:si>
  <x:si>
    <x:t xml:space="preserve">#f4cccc</x:t>
  </x:si>
  <x:si>
    <x:t xml:space="preserve">left:HDMI:HDMI In (4K60 4:4:4)|right:RJ-45:1G IP (PURE3)</x:t>
  </x:si>
  <x:si>
    <x:t xml:space="preserve">44–57 VDC</x:t>
  </x:si>
  <x:si>
    <x:t xml:space="preserve">0.60 A max</x:t>
  </x:si>
  <x:si>
    <x:t xml:space="preserve">PoE+ or external DC power supply</x:t>
  </x:si>
  <x:si>
    <x:t xml:space="preserve">NAV E 121</x:t>
  </x:si>
  <x:si>
    <x:t xml:space="preserve">60-2040-01</x:t>
  </x:si>
  <x:si>
    <x:t xml:space="preserve">NAV E 222</x:t>
  </x:si>
  <x:si>
    <x:t xml:space="preserve">60-2069-01</x:t>
  </x:si>
  <x:si>
    <x:t xml:space="preserve">left:HDMI:HDMI In|left:USB-C:USB-C In|right:RJ-45:1G IP (PURE3)</x:t>
  </x:si>
  <x:si>
    <x:t xml:space="preserve">NAV E 111 DTP3</x:t>
  </x:si>
  <x:si>
    <x:t xml:space="preserve">60-1525-16</x:t>
  </x:si>
  <x:si>
    <x:t xml:space="preserve">left:RJ-45:DTP3/DTP In (CAT6A)|right:RJ-45:1G IP (PURE3)</x:t>
  </x:si>
  <x:si>
    <x:t xml:space="preserve">NAV 10E 101</x:t>
  </x:si>
  <x:si>
    <x:t xml:space="preserve">60-1572-15</x:t>
  </x:si>
  <x:si>
    <x:t xml:space="preserve">left:HDMI:HDMI In (4K60 4:4:4)|right:LC Fiber:10G IP</x:t>
  </x:si>
  <x:si>
    <x:t xml:space="preserve">Multimode fiber variant selected; singlemode is 60-1572-16.</x:t>
  </x:si>
  <x:si>
    <x:t xml:space="preserve">NAV SD 101</x:t>
  </x:si>
  <x:si>
    <x:t xml:space="preserve">60-1525-14</x:t>
  </x:si>
  <x:si>
    <x:t xml:space="preserve">left:RJ-45:1G IP (PURE3)|right:HDMI:HDMI Scaled Out</x:t>
  </x:si>
  <x:si>
    <x:t xml:space="preserve">NAV SD 121</x:t>
  </x:si>
  <x:si>
    <x:t xml:space="preserve">60-2040-02</x:t>
  </x:si>
  <x:si>
    <x:t xml:space="preserve">NAV SD 501</x:t>
  </x:si>
  <x:si>
    <x:t xml:space="preserve">60-1525-03</x:t>
  </x:si>
  <x:si>
    <x:t xml:space="preserve">left:RJ-45:1G IP (PURE3)|right:HDMI:HDMI Out|right:USB:USB 2.0|right:RJ-45:Ethernet Pass</x:t>
  </x:si>
  <x:si>
    <x:t xml:space="preserve">NAVigator</x:t>
  </x:si>
  <x:si>
    <x:t xml:space="preserve">60-1534-01</x:t>
  </x:si>
  <x:si>
    <x:t xml:space="preserve">left:RJ-45:LAN A|left:RJ-45:LAN B|left:USB-A:USB Host|left:USB-B:USB Config</x:t>
  </x:si>
  <x:si>
    <x:t xml:space="preserve">3.0 lb</x:t>
  </x:si>
  <x:si>
    <x:t xml:space="preserve">DSP</x:t>
  </x:si>
  <x:si>
    <x:t xml:space="preserve">DMP 64 Plus</x:t>
  </x:si>
  <x:si>
    <x:t xml:space="preserve">60-1823-01</x:t>
  </x:si>
  <x:si>
    <x:t xml:space="preserve">#e4dfec</x:t>
  </x:si>
  <x:si>
    <x:t xml:space="preserve">left:Captive Screw:Mic/Line In (6ch AEC)|left:USB-B:USB Audio|right:Captive Screw:Line Out (4ch)|right:RJ-45:EXP Port</x:t>
  </x:si>
  <x:si>
    <x:t xml:space="preserve">Actual model is DMP 64 Plus C.</x:t>
  </x:si>
  <x:si>
    <x:t xml:space="preserve">DMP 64 Plus AT</x:t>
  </x:si>
  <x:si>
    <x:t xml:space="preserve">60-1823-10</x:t>
  </x:si>
  <x:si>
    <x:t xml:space="preserve">left:Captive Screw:Mic/Line In (6ch AEC)|left:RJ-45:Dante In (32ch)|left:USB-B:USB Audio|left:RJ-45:PoE+|right:Captive Screw:Line Out (4ch)|right:RJ-45:Dante Out (16ch)|right:RJ-45:EXP Port</x:t>
  </x:si>
  <x:si>
    <x:t xml:space="preserve">Actual model is DMP 64 Plus C AT.</x:t>
  </x:si>
  <x:si>
    <x:t xml:space="preserve">DMP 128 Plus</x:t>
  </x:si>
  <x:si>
    <x:t xml:space="preserve">60-1511-01</x:t>
  </x:si>
  <x:si>
    <x:t xml:space="preserve">left:Captive Screw:Mic/Line In (12ch)|left:USB-B:USB Audio (4ch)|right:Captive Screw:Line Out (8ch)|right:RJ-45:EXP Port</x:t>
  </x:si>
  <x:si>
    <x:t xml:space="preserve">DMP 128 Plus AT</x:t>
  </x:si>
  <x:si>
    <x:t xml:space="preserve">60-1511-10</x:t>
  </x:si>
  <x:si>
    <x:t xml:space="preserve">left:Captive Screw:Mic/Line In (12ch 8AEC)|left:RJ-45:Dante In (48ch)|left:USB-B:USB Audio (4ch)|right:Captive Screw:Line Out (8ch)|right:RJ-45:Dante Out (24ch)|right:RJ-45:EXP Port</x:t>
  </x:si>
  <x:si>
    <x:t xml:space="preserve">DMP 128 Plus C P AT</x:t>
  </x:si>
  <x:si>
    <x:t xml:space="preserve">60-1179-10</x:t>
  </x:si>
  <x:si>
    <x:t xml:space="preserve">left:Captive Screw:Mic/Line In (12ch 8AEC)|left:RJ-45:Dante In (48ch)|left:USB-B:USB Audio|left:Captive Screw:POTS (FXO)|right:Captive Screw:Line Out (8ch)|right:RJ-45:Dante Out (24ch)|right:RJ-45:EXP Port</x:t>
  </x:si>
  <x:si>
    <x:t xml:space="preserve">Model label corrected to DMP 128 C P AT from POTS/Dante port set.</x:t>
  </x:si>
  <x:si>
    <x:t xml:space="preserve">Amplifier</x:t>
  </x:si>
  <x:si>
    <x:t xml:space="preserve">XPA Ultra</x:t>
  </x:si>
  <x:si>
    <x:t xml:space="preserve">60-1761-02</x:t>
  </x:si>
  <x:si>
    <x:t xml:space="preserve">#d9ead3</x:t>
  </x:si>
  <x:si>
    <x:t xml:space="preserve">left:Captive Screw:Audio In (2ch)|right:Captive Screw:Spkr Out (2ch 4/8ohm/70V)</x:t>
  </x:si>
  <x:si>
    <x:t xml:space="preserve">10.5 lb</x:t>
  </x:si>
  <x:si>
    <x:t xml:space="preserve">1.5 A max @ 100 VAC</x:t>
  </x:si>
  <x:si>
    <x:t xml:space="preserve">Mapped by 2-channel 70V output to XPA U 1002-70V.</x:t>
  </x:si>
  <x:si>
    <x:t xml:space="preserve">60-1760-02</x:t>
  </x:si>
  <x:si>
    <x:t xml:space="preserve">left:Captive Screw:Audio In (4ch)|right:Captive Screw:Spkr Out (4ch 4/8ohm/70V)</x:t>
  </x:si>
  <x:si>
    <x:t xml:space="preserve">Mapped by 4-channel 70V output to XPA U 1004-70V.</x:t>
  </x:si>
  <x:si>
    <x:t xml:space="preserve">NetPA Ultra</x:t>
  </x:si>
  <x:si>
    <x:t xml:space="preserve">60-1766-02</x:t>
  </x:si>
  <x:si>
    <x:t xml:space="preserve">left:RJ-45:Dante In (4ch)|left:RJ-45:Network|right:Captive Screw:Spkr Out (4ch 4/8ohm/70V)</x:t>
  </x:si>
  <x:si>
    <x:t xml:space="preserve">Mapped by 4-channel Dante/70V output to NetPA U 1004-70V.</x:t>
  </x:si>
  <x:si>
    <x:t xml:space="preserve">60-2027-01</x:t>
  </x:si>
  <x:si>
    <x:t xml:space="preserve">left:RJ-45:Dante In (8ch)|left:RJ-45:Network|right:Captive Screw:Spkr Out (8ch 4/8ohm/70V)</x:t>
  </x:si>
  <x:si>
    <x:t xml:space="preserve">Mapped by 8-channel configurable output to NetPA U 2008 FX.</x:t>
  </x:si>
  <x:si>
    <x:t xml:space="preserve">NetPA Ultra FX</x:t>
  </x:si>
  <x:si>
    <x:t xml:space="preserve">60-2028-01</x:t>
  </x:si>
  <x:si>
    <x:t xml:space="preserve">left:RJ-45:Dante In|left:RJ-45:Network|right:Captive Screw:Spkr Out (4/8ch shared 800W)</x:t>
  </x:si>
  <x:si>
    <x:t xml:space="preserve">Mapped by 4-channel shared-output architecture to NetPA U 2004 FX; 8-channel model is 60-2027-01.</x:t>
  </x:si>
  <x:si>
    <x:t xml:space="preserve">NetPA 204 POE</x:t>
  </x:si>
  <x:si>
    <x:t xml:space="preserve">60-2047-01</x:t>
  </x:si>
  <x:si>
    <x:t xml:space="preserve">left:RJ-45:PoE/PoE+/PoE++ + Dante|right:Captive Screw:Spkr Out (4ch 20W)</x:t>
  </x:si>
  <x:si>
    <x:t xml:space="preserve">Control</x:t>
  </x:si>
  <x:si>
    <x:t xml:space="preserve">IPCP Pro 250 xi</x:t>
  </x:si>
  <x:si>
    <x:t xml:space="preserve">60-1911-01</x:t>
  </x:si>
  <x:si>
    <x:t xml:space="preserve">#fce4ec</x:t>
  </x:si>
  <x:si>
    <x:t xml:space="preserve">left:RJ-45:LAN|right:Captive Screw:RS-232|right:Captive Screw:IR/Serial (2)|right:Captive Screw:Relay (2)</x:t>
  </x:si>
  <x:si>
    <x:t xml:space="preserve">Base processor selected; LinkLicense UI-upgrade bundle is 60-1911-01A.</x:t>
  </x:si>
  <x:si>
    <x:t xml:space="preserve">IPCP Pro 550 xi</x:t>
  </x:si>
  <x:si>
    <x:t xml:space="preserve">60-1913-01A</x:t>
  </x:si>
  <x:si>
    <x:t xml:space="preserve">left:RJ-45:LAN|left:RJ-45:AV LAN|right:Captive Screw:RS-232 (2)|right:Captive Screw:IR/Serial (4)|right:Captive Screw:Relay (4)|right:Captive Screw:I/O (4)</x:t>
  </x:si>
  <x:si>
    <x:t xml:space="preserve">0.8 A max</x:t>
  </x:si>
  <x:si>
    <x:t xml:space="preserve">Public SKU includes the LinkLicense for User Interfaces upgrade.</x:t>
  </x:si>
  <x:si>
    <x:t xml:space="preserve">TLP Pro 725T</x:t>
  </x:si>
  <x:si>
    <x:t xml:space="preserve">60-1562-02</x:t>
  </x:si>
  <x:si>
    <x:t xml:space="preserve">left:RJ-45:LAN / PoE|left:USB:USB</x:t>
  </x:si>
  <x:si>
    <x:t xml:space="preserve">5.4”</x:t>
  </x:si>
  <x:si>
    <x:t xml:space="preserve">7.2”</x:t>
  </x:si>
  <x:si>
    <x:t xml:space="preserve">4.8”</x:t>
  </x:si>
  <x:si>
    <x:t xml:space="preserve">No — tabletop/wall device</x:t>
  </x:si>
  <x:si>
    <x:t xml:space="preserve">0.35 A max</x:t>
  </x:si>
  <x:si>
    <x:t xml:space="preserve">PoE (IEEE 802.3af)</x:t>
  </x:si>
  <x:si>
    <x:t xml:space="preserve">Legacy black tabletop model. Legacy public 2024 MSRP.</x:t>
  </x:si>
  <x:si>
    <x:t xml:space="preserve">TLP Pro 1025T</x:t>
  </x:si>
  <x:si>
    <x:t xml:space="preserve">60-1565-02</x:t>
  </x:si>
  <x:si>
    <x:t xml:space="preserve">left:RJ-45:LAN / PoE+|left:USB:USB</x:t>
  </x:si>
  <x:si>
    <x:t xml:space="preserve">10.3”</x:t>
  </x:si>
  <x:si>
    <x:t xml:space="preserve">PoE+ (IEEE 802.3at)</x:t>
  </x:si>
  <x:si>
    <x:t xml:space="preserve">Black tabletop model selected; white is 60-1565-03. Legacy public 2024 MSRP.</x:t>
  </x:si>
  <x:si>
    <x:t xml:space="preserve">TLP Pro 1530T</x:t>
  </x:si>
  <x:si>
    <x:t xml:space="preserve">60-2001-02</x:t>
  </x:si>
  <x:si>
    <x:t xml:space="preserve">left:RJ-45:LAN / PoE++|left:USB:USB</x:t>
  </x:si>
  <x:si>
    <x:t xml:space="preserve">10.1”</x:t>
  </x:si>
  <x:si>
    <x:t xml:space="preserve">6.8”</x:t>
  </x:si>
  <x:si>
    <x:t xml:space="preserve">6.5 lb</x:t>
  </x:si>
  <x:si>
    <x:t xml:space="preserve">0.75 A max</x:t>
  </x:si>
  <x:si>
    <x:t xml:space="preserve">PoE++ / external 12 VDC</x:t>
  </x:si>
  <x:si>
    <x:t xml:space="preserve">No 1530T SKU found; mapped to current TLP Pro 1535T black.</x:t>
  </x:si>
  <x:si>
    <x:t xml:space="preserve">TLP Pro 35 Series</x:t>
  </x:si>
  <x:si>
    <x:t xml:space="preserve">VARIES BY MODEL</x:t>
  </x:si>
  <x:si>
    <x:t xml:space="preserve">VARIES</x:t>
  </x:si>
  <x:si>
    <x:t xml:space="preserve">3.3”</x:t>
  </x:si>
  <x:si>
    <x:t xml:space="preserve">5.0”</x:t>
  </x:si>
  <x:si>
    <x:t xml:space="preserve">1.8”</x:t>
  </x:si>
  <x:si>
    <x:t xml:space="preserve">Series includes 535/835/1035/1535 and mount/color variants; no single SKU. No single MSRP applies to the product family.</x:t>
  </x:si>
  <x:si>
    <x:t xml:space="preserve">TLS 525T</x:t>
  </x:si>
  <x:si>
    <x:t xml:space="preserve">60-1559-02</x:t>
  </x:si>
  <x:si>
    <x:t xml:space="preserve">4.2”</x:t>
  </x:si>
  <x:si>
    <x:t xml:space="preserve">6.2”</x:t>
  </x:si>
  <x:si>
    <x:t xml:space="preserve">1.5 lb</x:t>
  </x:si>
  <x:si>
    <x:t xml:space="preserve">TLS appears to be a typo; mapped to legacy TLP Pro 525T black. Legacy public 2024 MSRP.</x:t>
  </x:si>
  <x:si>
    <x:t xml:space="preserve">NBP 200</x:t>
  </x:si>
  <x:si>
    <x:t xml:space="preserve">60-1795-01</x:t>
  </x:si>
  <x:si>
    <x:t xml:space="preserve">left:RJ-45:LAN / PoE</x:t>
  </x:si>
  <x:si>
    <x:t xml:space="preserve">4.6”</x:t>
  </x:si>
  <x:si>
    <x:t xml:space="preserve">1.7”</x:t>
  </x:si>
  <x:si>
    <x:t xml:space="preserve">0.7 lb</x:t>
  </x:si>
  <x:si>
    <x:t xml:space="preserve">No — architectural control panel</x:t>
  </x:si>
  <x:si>
    <x:t xml:space="preserve">0.30 A max</x:t>
  </x:si>
  <x:si>
    <x:t xml:space="preserve">Speaker</x:t>
  </x:si>
  <x:si>
    <x:t xml:space="preserve">FF 220T</x:t>
  </x:si>
  <x:si>
    <x:t xml:space="preserve">42-141-03</x:t>
  </x:si>
  <x:si>
    <x:t xml:space="preserve">#e7e6e6</x:t>
  </x:si>
  <x:si>
    <x:t xml:space="preserve">left:Captive Screw:70V Input</x:t>
  </x:si>
  <x:si>
    <x:t xml:space="preserve">23.7”</x:t>
  </x:si>
  <x:si>
    <x:t xml:space="preserve">3.25”</x:t>
  </x:si>
  <x:si>
    <x:t xml:space="preserve">16.0 lb</x:t>
  </x:si>
  <x:si>
    <x:t xml:space="preserve">No — loudspeaker/enclosure</x:t>
  </x:si>
  <x:si>
    <x:t xml:space="preserve">N/A</x:t>
  </x:si>
  <x:si>
    <x:t xml:space="preserve">Passive device — no power supply</x:t>
  </x:si>
  <x:si>
    <x:t xml:space="preserve">2 ft × 2 ft enclosure selected; 600 mm × 600 mm version is 42-141-23.</x:t>
  </x:si>
  <x:si>
    <x:t xml:space="preserve">SI 26CT</x:t>
  </x:si>
  <x:si>
    <x:t xml:space="preserve">42-070-03</x:t>
  </x:si>
  <x:si>
    <x:t xml:space="preserve">9.6"</x:t>
  </x:si>
  <x:si>
    <x:t xml:space="preserve">11.7"</x:t>
  </x:si>
  <x:si>
    <x:t xml:space="preserve">9.0 lb</x:t>
  </x:si>
  <x:si>
    <x:t xml:space="preserve">Retired, sold as a pair; historical public MSRP. Circular product: physical size recorded as Height × Diameter.</x:t>
  </x:si>
  <x:si>
    <x:t xml:space="preserve">DTP3 T 101 D</x:t>
  </x:si>
  <x:si>
    <x:t xml:space="preserve">60-1902-52</x:t>
  </x:si>
  <x:si>
    <x:t xml:space="preserve">left:HDMI:HDMI In|right:RJ-45:DTP3 Out</x:t>
  </x:si>
  <x:si>
    <x:t xml:space="preserve">2.8"</x:t>
  </x:si>
  <x:si>
    <x:t xml:space="preserve">1.7"</x:t>
  </x:si>
  <x:si>
    <x:t xml:space="preserve">1.9"</x:t>
  </x:si>
  <x:si>
    <x:t xml:space="preserve">0.4 lb</x:t>
  </x:si>
  <x:si>
    <x:t xml:space="preserve">No — wall/furniture mount</x:t>
  </x:si>
  <x:si>
    <x:t xml:space="preserve">Black wallplate selected; white is 60-1902-53.</x:t>
  </x:si>
  <x:si>
    <x:t xml:space="preserve">DTP3 T 202 EU/MK</x:t>
  </x:si>
  <x:si>
    <x:t xml:space="preserve">60-1829-52</x:t>
  </x:si>
  <x:si>
    <x:t xml:space="preserve">left:USB-C:USB-C In|left:HDMI:HDMI In|left:Captive Screw:Analog Audio|right:RJ-45:DTP3 Out|right:Captive Screw:RS-232</x:t>
  </x:si>
  <x:si>
    <x:t xml:space="preserve">1.84"</x:t>
  </x:si>
  <x:si>
    <x:t xml:space="preserve">4.32"</x:t>
  </x:si>
  <x:si>
    <x:t xml:space="preserve">1.54"</x:t>
  </x:si>
  <x:si>
    <x:t xml:space="preserve">0.6 lb</x:t>
  </x:si>
  <x:si>
    <x:t xml:space="preserve">No — EU/MK wallplate</x:t>
  </x:si>
  <x:si>
    <x:t xml:space="preserve">48 VDC nominal</x:t>
  </x:si>
  <x:si>
    <x:t xml:space="preserve">Remote power over DTP/XTP or external DC</x:t>
  </x:si>
  <x:si>
    <x:t xml:space="preserve">DTP3 T 203</x:t>
  </x:si>
  <x:si>
    <x:t xml:space="preserve">60-1885-52</x:t>
  </x:si>
  <x:si>
    <x:t xml:space="preserve">left:HDMI:HDMI In 1|left:HDMI:HDMI In 2|left:USB-C:USB-C In 3|right:RJ-45:DTP3 Out|right:Captive Screw:RS-232</x:t>
  </x:si>
  <x:si>
    <x:t xml:space="preserve">1.75"</x:t>
  </x:si>
  <x:si>
    <x:t xml:space="preserve">8.75"</x:t>
  </x:si>
  <x:si>
    <x:t xml:space="preserve">8.50"</x:t>
  </x:si>
  <x:si>
    <x:t xml:space="preserve">2.17 lb</x:t>
  </x:si>
  <x:si>
    <x:t xml:space="preserve">No</x:t>
  </x:si>
  <x:si>
    <x:t xml:space="preserve">Yes — optional 1U rack shelf required</x:t>
  </x:si>
  <x:si>
    <x:t xml:space="preserve">DTP3 T 212 D</x:t>
  </x:si>
  <x:si>
    <x:t xml:space="preserve">60-1714-52</x:t>
  </x:si>
  <x:si>
    <x:t xml:space="preserve">left:USB-C:USB-C In|left:HDMI:HDMI In|right:RJ-45:DTP3 Out|right:Captive Screw:RS-232</x:t>
  </x:si>
  <x:si>
    <x:t xml:space="preserve">0.55 lb</x:t>
  </x:si>
  <x:si>
    <x:t xml:space="preserve">Black wallplate selected; white is 60-1714-53.</x:t>
  </x:si>
  <x:si>
    <x:t xml:space="preserve">DTP3 R 311</x:t>
  </x:si>
  <x:si>
    <x:t xml:space="preserve">60-1773-13</x:t>
  </x:si>
  <x:si>
    <x:t xml:space="preserve">RETIRED / CALL</x:t>
  </x:si>
  <x:si>
    <x:t xml:space="preserve">1.0"</x:t>
  </x:si>
  <x:si>
    <x:t xml:space="preserve">6.0"</x:t>
  </x:si>
  <x:si>
    <x:t xml:space="preserve">1.2 lb</x:t>
  </x:si>
  <x:si>
    <x:t xml:space="preserve">Retired; exact part verified. Public MSRP unavailable; current suggested replacement is DTP3 R 301.</x:t>
  </x:si>
  <x:si>
    <x:t xml:space="preserve">DTP2 T 211</x:t>
  </x:si>
  <x:si>
    <x:t xml:space="preserve">60-1631-62</x:t>
  </x:si>
  <x:si>
    <x:t xml:space="preserve">left:HDMI:HDMI In|left:Captive Screw:Analog Audio Embed|right:RJ-45:DTP2 Out</x:t>
  </x:si>
  <x:si>
    <x:t xml:space="preserve">4.3"</x:t>
  </x:si>
  <x:si>
    <x:t xml:space="preserve">0.562 lb</x:t>
  </x:si>
  <x:si>
    <x:t xml:space="preserve">Current 2026 SKU selected; legacy SKU was 60-1631-52.</x:t>
  </x:si>
  <x:si>
    <x:t xml:space="preserve">DTP2 T 212</x:t>
  </x:si>
  <x:si>
    <x:t xml:space="preserve">60-1587-52</x:t>
  </x:si>
  <x:si>
    <x:t xml:space="preserve">left:HDMI:HDMI In 1|left:HDMI:HDMI In 2|right:HDMI:HDMI Out|right:RJ-45:DTP2 Out</x:t>
  </x:si>
  <x:si>
    <x:t xml:space="preserve">DTP2 T 204</x:t>
  </x:si>
  <x:si>
    <x:t xml:space="preserve">60-1626-52</x:t>
  </x:si>
  <x:si>
    <x:t xml:space="preserve">left:HDMI:HDMI In 1|left:HDMI:HDMI In 2|left:HDMI:HDMI In 3|left:HDMI:HDMI In 4|right:RJ-45:DTP2 Out</x:t>
  </x:si>
  <x:si>
    <x:t xml:space="preserve">4.5"</x:t>
  </x:si>
  <x:si>
    <x:t xml:space="preserve">1.25 lb</x:t>
  </x:si>
  <x:si>
    <x:t xml:space="preserve">DTP2 T 203</x:t>
  </x:si>
  <x:si>
    <x:t xml:space="preserve">60-1659-52</x:t>
  </x:si>
  <x:si>
    <x:t xml:space="preserve">left:HDMI:HDMI In 1|left:HDMI:HDMI In 2|left:USB-C:USB-C In 3|right:RJ-45:DTP2 Out</x:t>
  </x:si>
  <x:si>
    <x:t xml:space="preserve">1.1 lb</x:t>
  </x:si>
  <x:si>
    <x:t xml:space="preserve">DTP2 R 211</x:t>
  </x:si>
  <x:si>
    <x:t xml:space="preserve">60-1631-63</x:t>
  </x:si>
  <x:si>
    <x:t xml:space="preserve">left:RJ-45:DTP2 In|right:HDMI:HDMI Out|right:Captive Screw:Analog Audio De-embed</x:t>
  </x:si>
  <x:si>
    <x:t xml:space="preserve">Current 2026 SKU selected; legacy SKU was 60-1631-53.</x:t>
  </x:si>
  <x:si>
    <x:t xml:space="preserve">DTP2 R 212</x:t>
  </x:si>
  <x:si>
    <x:t xml:space="preserve">60-1588-52</x:t>
  </x:si>
  <x:si>
    <x:t xml:space="preserve">left:RJ-45:DTP2 In|right:HDMI:HDMI Out 1|right:HDMI:HDMI Out 2</x:t>
  </x:si>
  <x:si>
    <x:t xml:space="preserve">13.1"</x:t>
  </x:si>
  <x:si>
    <x:t xml:space="preserve">1.51 lb</x:t>
  </x:si>
  <x:si>
    <x:t xml:space="preserve">DTP HDMI 4K 230 Tx</x:t>
  </x:si>
  <x:si>
    <x:t xml:space="preserve">60-1271-12</x:t>
  </x:si>
  <x:si>
    <x:t xml:space="preserve">left:HDMI:HDMI In|right:RJ-45:DTP Out (230ft)|right:Captive Screw:RS-232</x:t>
  </x:si>
  <x:si>
    <x:t xml:space="preserve">3.0"</x:t>
  </x:si>
  <x:si>
    <x:t xml:space="preserve">DTP T HWP 4K 231 D</x:t>
  </x:si>
  <x:si>
    <x:t xml:space="preserve">60-1421-12</x:t>
  </x:si>
  <x:si>
    <x:t xml:space="preserve">left:HDMI:HDMI In|right:RJ-45:DTP Out (230ft)</x:t>
  </x:si>
  <x:si>
    <x:t xml:space="preserve">0.2 lb</x:t>
  </x:si>
  <x:si>
    <x:t xml:space="preserve">Black wallplate selected; white is 60-1421-13.</x:t>
  </x:si>
  <x:si>
    <x:t xml:space="preserve">DTP T UWP 4K 232 D</x:t>
  </x:si>
  <x:si>
    <x:t xml:space="preserve">60-1755-12</x:t>
  </x:si>
  <x:si>
    <x:t xml:space="preserve">left:HDMI:HDMI In|left:Captive Screw:VGA + Audio In|right:RJ-45:DTP Out (230ft)</x:t>
  </x:si>
  <x:si>
    <x:t xml:space="preserve">2.70"</x:t>
  </x:si>
  <x:si>
    <x:t xml:space="preserve">3.50"</x:t>
  </x:si>
  <x:si>
    <x:t xml:space="preserve">1.90"</x:t>
  </x:si>
  <x:si>
    <x:t xml:space="preserve">Black wallplate selected; white is 60-1755-13.</x:t>
  </x:si>
  <x:si>
    <x:t xml:space="preserve">DTP HD DA 4K 230</x:t>
  </x:si>
  <x:si>
    <x:t xml:space="preserve">60-1437-01</x:t>
  </x:si>
  <x:si>
    <x:t xml:space="preserve">left:HDMI:HDMI In|right:RJ-45:DTP Out 1|right:RJ-45:DTP Out 2|right:RJ-45:DTP Out 3|right:RJ-45:DTP Out 4</x:t>
  </x:si>
  <x:si>
    <x:t xml:space="preserve">17.5"</x:t>
  </x:si>
  <x:si>
    <x:t xml:space="preserve">10.6"</x:t>
  </x:si>
  <x:si>
    <x:t xml:space="preserve">4.9 lb</x:t>
  </x:si>
  <x:si>
    <x:t xml:space="preserve">0.8 A max @ 100 VAC</x:t>
  </x:si>
  <x:si>
    <x:t xml:space="preserve">Four-output DA selected from the listed ports (DTP HD DA4 4K 230).</x:t>
  </x:si>
  <x:si>
    <x:t xml:space="preserve">DTP T DSW 4K 233</x:t>
  </x:si>
  <x:si>
    <x:t xml:space="preserve">60-1487-12</x:t>
  </x:si>
  <x:si>
    <x:t xml:space="preserve">left:HDMI:HDMI In|left:Captive Screw:VGA In|left:DisplayPort:DP In|left:Captive Screw:Audio Embed|right:RJ-45:DTP Out (230ft)|right:Captive Screw:RS-232</x:t>
  </x:si>
  <x:si>
    <x:t xml:space="preserve">DTP T USW 233</x:t>
  </x:si>
  <x:si>
    <x:t xml:space="preserve">60-1551-12</x:t>
  </x:si>
  <x:si>
    <x:t xml:space="preserve">left:HDMI:HDMI In 1|left:HDMI:HDMI In 2|left:HDMI:HDMI In 3|left:Captive Screw:Audio Embed|right:RJ-45:DTP Out (230ft)|right:Captive Screw:RS-232</x:t>
  </x:si>
  <x:si>
    <x:t xml:space="preserve">DTP T EU 4K 231</x:t>
  </x:si>
  <x:si>
    <x:t xml:space="preserve">60-1532-12</x:t>
  </x:si>
  <x:si>
    <x:t xml:space="preserve">3.2”</x:t>
  </x:si>
  <x:si>
    <x:t xml:space="preserve">DTP T HD2 4K 230</x:t>
  </x:si>
  <x:si>
    <x:t xml:space="preserve">60-1491-12</x:t>
  </x:si>
  <x:si>
    <x:t xml:space="preserve">left:HDMI:HDMI In|right:HDMI:HDMI Loop|right:RJ-45:DTP Out (230ft)|right:Captive Screw:RS-232</x:t>
  </x:si>
  <x:si>
    <x:t xml:space="preserve">DTP T MK 4K 231</x:t>
  </x:si>
  <x:si>
    <x:t xml:space="preserve">3.4”</x:t>
  </x:si>
  <x:si>
    <x:t xml:space="preserve">5.7”</x:t>
  </x:si>
  <x:si>
    <x:t xml:space="preserve">No exact MK SKU in public lists; EU-junction-box equivalent DTP T EU 4K 231 selected.</x:t>
  </x:si>
  <x:si>
    <x:t xml:space="preserve">DTP T EU 232</x:t>
  </x:si>
  <x:si>
    <x:t xml:space="preserve">60-1569-12</x:t>
  </x:si>
  <x:si>
    <x:t xml:space="preserve">left:HDMI:HDMI In|left:Captive Screw:Audio Embed|right:RJ-45:DTP Out (230ft)</x:t>
  </x:si>
  <x:si>
    <x:t xml:space="preserve">DTP T HWP 232 D</x:t>
  </x:si>
  <x:si>
    <x:t xml:space="preserve">60-1365-63</x:t>
  </x:si>
  <x:si>
    <x:t xml:space="preserve">left:HDMI:HDMI In 1|left:HDMI:HDMI In 2|left:Captive Screw:Audio Embed|right:RJ-45:DTP Out (230ft)</x:t>
  </x:si>
  <x:si>
    <x:t xml:space="preserve">Current white wallplate SKU selected; legacy white SKU was 60-1365-13.</x:t>
  </x:si>
  <x:si>
    <x:t xml:space="preserve">DTP HDMI 4K 330 Tx</x:t>
  </x:si>
  <x:si>
    <x:t xml:space="preserve">60-1331-12</x:t>
  </x:si>
  <x:si>
    <x:t xml:space="preserve">left:HDMI:HDMI In|right:RJ-45:DTP Out (330ft)|right:Captive Screw:RS-232</x:t>
  </x:si>
  <x:si>
    <x:t xml:space="preserve">DTP HD DA 4K 330</x:t>
  </x:si>
  <x:si>
    <x:t xml:space="preserve">60-1437-51</x:t>
  </x:si>
  <x:si>
    <x:t xml:space="preserve">Four-output DA selected from the listed ports (DTP HD DA4 4K 330).</x:t>
  </x:si>
  <x:si>
    <x:t xml:space="preserve">DTP T SW4 HD 4K</x:t>
  </x:si>
  <x:si>
    <x:t xml:space="preserve">60-1625-01</x:t>
  </x:si>
  <x:si>
    <x:t xml:space="preserve">left:HDMI:HDMI In 1|left:HDMI:HDMI In 2|left:HDMI:HDMI In 3|left:HDMI:HDMI In 4|right:RJ-45:DTP Out (330ft)</x:t>
  </x:si>
  <x:si>
    <x:t xml:space="preserve">DTP T DSW 4K 333</x:t>
  </x:si>
  <x:si>
    <x:t xml:space="preserve">60-1487-52</x:t>
  </x:si>
  <x:si>
    <x:t xml:space="preserve">left:HDMI:HDMI In|left:Captive Screw:VGA In|left:DisplayPort:DP In|left:Captive Screw:Audio Embed|right:RJ-45:DTP Out (330ft)|right:Captive Screw:RS-232</x:t>
  </x:si>
  <x:si>
    <x:t xml:space="preserve">DTP T EU 4K 331</x:t>
  </x:si>
  <x:si>
    <x:t xml:space="preserve">60-1532-52</x:t>
  </x:si>
  <x:si>
    <x:t xml:space="preserve">left:HDMI:HDMI In|right:RJ-45:DTP Out (330ft)</x:t>
  </x:si>
  <x:si>
    <x:t xml:space="preserve">DTP T HD2 4K 330</x:t>
  </x:si>
  <x:si>
    <x:t xml:space="preserve">60-1491-52</x:t>
  </x:si>
  <x:si>
    <x:t xml:space="preserve">left:HDMI:HDMI In|right:HDMI:HDMI Loop|right:RJ-45:DTP Out (330ft)|right:Captive Screw:RS-232</x:t>
  </x:si>
  <x:si>
    <x:t xml:space="preserve">DTP T HWP 4K 331 D</x:t>
  </x:si>
  <x:si>
    <x:t xml:space="preserve">60-1421-52</x:t>
  </x:si>
  <x:si>
    <x:t xml:space="preserve">Black wallplate selected; white is 60-1421-53.</x:t>
  </x:si>
  <x:si>
    <x:t xml:space="preserve">DTP T USW 333</x:t>
  </x:si>
  <x:si>
    <x:t xml:space="preserve">60-1551-52</x:t>
  </x:si>
  <x:si>
    <x:t xml:space="preserve">left:HDMI:HDMI In 1|left:HDMI:HDMI In 2|left:HDMI:HDMI In 3|left:Captive Screw:Audio Embed|right:RJ-45:DTP Out (330ft)|right:Captive Screw:RS-232</x:t>
  </x:si>
  <x:si>
    <x:t xml:space="preserve">DTP T UWP 4K 332 D</x:t>
  </x:si>
  <x:si>
    <x:t xml:space="preserve">60-1755-52</x:t>
  </x:si>
  <x:si>
    <x:t xml:space="preserve">left:HDMI:HDMI In|left:Captive Screw:VGA + Audio In|right:RJ-45:DTP Out (330ft)</x:t>
  </x:si>
  <x:si>
    <x:t xml:space="preserve">Black wallplate selected; white is 60-1755-53.</x:t>
  </x:si>
  <x:si>
    <x:t xml:space="preserve">DTP DVI 4K 230 Tx</x:t>
  </x:si>
  <x:si>
    <x:t xml:space="preserve">60-1272-12</x:t>
  </x:si>
  <x:si>
    <x:t xml:space="preserve">left:DVI-D:DVI In|right:RJ-45:DTP Out (230ft)|right:Captive Screw:RS-232</x:t>
  </x:si>
  <x:si>
    <x:t xml:space="preserve">DTP DVI 4K 330 Tx</x:t>
  </x:si>
  <x:si>
    <x:t xml:space="preserve">60-1360-12</x:t>
  </x:si>
  <x:si>
    <x:t xml:space="preserve">left:DVI-D:DVI In|right:RJ-45:DTP Out (330ft)|right:Captive Screw:RS-232</x:t>
  </x:si>
  <x:si>
    <x:t xml:space="preserve">DTP T DP 4K 230</x:t>
  </x:si>
  <x:si>
    <x:t xml:space="preserve">60-1076-12</x:t>
  </x:si>
  <x:si>
    <x:t xml:space="preserve">left:DisplayPort:DP In|right:RJ-45:DTP Out (230ft)|right:Captive Screw:RS-232</x:t>
  </x:si>
  <x:si>
    <x:t xml:space="preserve">DTP T DP 4K 330</x:t>
  </x:si>
  <x:si>
    <x:t xml:space="preserve">60-1076-52</x:t>
  </x:si>
  <x:si>
    <x:t xml:space="preserve">left:DisplayPort:DP In|right:RJ-45:DTP Out (330ft)|right:Captive Screw:RS-232</x:t>
  </x:si>
  <x:si>
    <x:t xml:space="preserve">DTP HDMI 4K 230 Rx</x:t>
  </x:si>
  <x:si>
    <x:t xml:space="preserve">60-1271-13</x:t>
  </x:si>
  <x:si>
    <x:t xml:space="preserve">left:RJ-45:DTP In (230ft)|right:HDMI:HDMI Out|right:Captive Screw:RS-232</x:t>
  </x:si>
  <x:si>
    <x:t xml:space="preserve">DTP R HWP 4K 231 D</x:t>
  </x:si>
  <x:si>
    <x:t xml:space="preserve">60-1531-12</x:t>
  </x:si>
  <x:si>
    <x:t xml:space="preserve">left:RJ-45:DTP In (230ft)|right:HDMI:HDMI Out</x:t>
  </x:si>
  <x:si>
    <x:t xml:space="preserve">Black wallplate selected; white is 60-1531-13.</x:t>
  </x:si>
  <x:si>
    <x:t xml:space="preserve">DTP DVI 4K 230 Rx</x:t>
  </x:si>
  <x:si>
    <x:t xml:space="preserve">60-1272-13</x:t>
  </x:si>
  <x:si>
    <x:t xml:space="preserve">left:RJ-45:DTP In (230ft)|right:DVI-D:DVI Out|right:Captive Screw:RS-232</x:t>
  </x:si>
  <x:si>
    <x:t xml:space="preserve">DTP R DP 4K 230</x:t>
  </x:si>
  <x:si>
    <x:t xml:space="preserve">60-1076-23</x:t>
  </x:si>
  <x:si>
    <x:t xml:space="preserve">left:RJ-45:DTP In (230ft)|right:DisplayPort:DP Out|right:Captive Screw:RS-232</x:t>
  </x:si>
  <x:si>
    <x:t xml:space="preserve">DTP HDMI 4K 330 Rx</x:t>
  </x:si>
  <x:si>
    <x:t xml:space="preserve">60-1331-13</x:t>
  </x:si>
  <x:si>
    <x:t xml:space="preserve">left:RJ-45:DTP In (330ft)|right:HDMI:HDMI Out|right:Captive Screw:RS-232</x:t>
  </x:si>
  <x:si>
    <x:t xml:space="preserve">DTP R HWP 4K 331 D</x:t>
  </x:si>
  <x:si>
    <x:t xml:space="preserve">60-1531-52</x:t>
  </x:si>
  <x:si>
    <x:t xml:space="preserve">left:RJ-45:DTP In (330ft)|right:HDMI:HDMI Out</x:t>
  </x:si>
  <x:si>
    <x:t xml:space="preserve">Black wallplate selected; white is 60-1531-53.</x:t>
  </x:si>
  <x:si>
    <x:t xml:space="preserve">DTP DVI 4K 330 Rx</x:t>
  </x:si>
  <x:si>
    <x:t xml:space="preserve">60-1360-13</x:t>
  </x:si>
  <x:si>
    <x:t xml:space="preserve">left:RJ-45:DTP In (330ft)|right:DVI-D:DVI Out|right:Captive Screw:RS-232</x:t>
  </x:si>
  <x:si>
    <x:t xml:space="preserve">DTP R DP 4K 330</x:t>
  </x:si>
  <x:si>
    <x:t xml:space="preserve">60-1076-63</x:t>
  </x:si>
  <x:si>
    <x:t xml:space="preserve">left:RJ-45:DTP In (330ft)|right:DisplayPort:DP Out|right:Captive Screw:RS-232</x:t>
  </x:si>
  <x:si>
    <x:t xml:space="preserve">IN1604</x:t>
  </x:si>
  <x:si>
    <x:t xml:space="preserve">60-1457-02</x:t>
  </x:si>
  <x:si>
    <x:t xml:space="preserve">left:HDMI:HDMI In 1|left:HDMI:HDMI In 2|left:HDMI:HDMI In 3|left:HDMI:HDMI In 4|right:HDMI:HDMI Scaled Out</x:t>
  </x:si>
  <x:si>
    <x:t xml:space="preserve">HDMI-output variant selected: IN1604 HD.</x:t>
  </x:si>
  <x:si>
    <x:t xml:space="preserve">IN1806</x:t>
  </x:si>
  <x:si>
    <x:t xml:space="preserve">60-1663-01</x:t>
  </x:si>
  <x:si>
    <x:t xml:space="preserve">left:HDMI:HDMI In 1-4|left:DisplayPort:DP In 5-6|right:HDMI:HDMI Scaled Out|right:RJ-45:DTP Out</x:t>
  </x:si>
  <x:si>
    <x:t xml:space="preserve">IN1608 xi</x:t>
  </x:si>
  <x:si>
    <x:t xml:space="preserve">60-1238-81</x:t>
  </x:si>
  <x:si>
    <x:t xml:space="preserve">left:HDMI:HDMI In 1-4|left:RJ-45:DTP In 5-8|left:Captive Screw:Mic/Line In|left:USB-B:USB Audio|right:HDMI:HDMI Scaled|right:RJ-45:DTP Out|right:Captive Screw:Audio Out|right:Captive Screw:RS-232/IR</x:t>
  </x:si>
  <x:si>
    <x:t xml:space="preserve">DTP2 T 202 FB</x:t>
  </x:si>
  <x:si>
    <x:t xml:space="preserve">60-1586-52</x:t>
  </x:si>
  <x:si>
    <x:t xml:space="preserve">left:HDMI:HDMI In 1|left:HDMI:HDMI In 2|right:RJ-45:DTP2 Out</x:t>
  </x:si>
  <x:si>
    <x:t xml:space="preserve">Multi-Window Processor</x:t>
  </x:si>
  <x:si>
    <x:t xml:space="preserve">MGP 641 xi</x:t>
  </x:si>
  <x:si>
    <x:t xml:space="preserve">60-1574-11</x:t>
  </x:si>
  <x:si>
    <x:t xml:space="preserve">#f9ead3</x:t>
  </x:si>
  <x:si>
    <x:t xml:space="preserve">left:HDMI:HDMI In 1|left:HDMI:HDMI In 2|left:HDMI:HDMI In 3|left:HDMI:HDMI In 4|left:RJ-45:DTP3 In 5|left:RJ-45:DTP3 In 6|right:HDMI:HDMI Out (Multi-Window)|right:RJ-45:DTP3 Out</x:t>
  </x:si>
  <x:si>
    <x:t xml:space="preserve">14.5”</x:t>
  </x:si>
  <x:si>
    <x:t xml:space="preserve">MGP 641 xi 5K</x:t>
  </x:si>
  <x:si>
    <x:t xml:space="preserve">60-1574-13</x:t>
  </x:si>
  <x:si>
    <x:t xml:space="preserve">left:HDMI:HDMI In 1|left:HDMI:HDMI In 2|left:HDMI:HDMI In 3|left:HDMI:HDMI In 4|left:RJ-45:DTP3 In 5|left:RJ-45:DTP3 In 6|right:HDMI:HDMI Out (5K Multi-Window)|right:RJ-45:DTP3 Out</x:t>
  </x:si>
  <x:si>
    <x:t xml:space="preserve">Quantum Ultra</x:t>
  </x:si>
  <x:si>
    <x:t xml:space="preserve">60-1989-01</x:t>
  </x:si>
  <x:si>
    <x:t xml:space="preserve">left:Card Slot:Input Card Slots|right:Card Slot:Output Card Slots|left:RJ-45:LAN|left:USB-B:USB Config</x:t>
  </x:si>
  <x:si>
    <x:t xml:space="preserve">18.0”</x:t>
  </x:si>
  <x:si>
    <x:t xml:space="preserve">45.0 lb</x:t>
  </x:si>
  <x:si>
    <x:t xml:space="preserve">Quantum Ultra 305 five-slot frame selected; 610 frame is 60-1990-01; cards/configuration extra.</x:t>
  </x:si>
  <x:si>
    <x:t xml:space="preserve">Quantum Ultra II</x:t>
  </x:si>
  <x:si>
    <x:t xml:space="preserve">60-1899-01</x:t>
  </x:si>
  <x:si>
    <x:t xml:space="preserve">12.25”</x:t>
  </x:si>
  <x:si>
    <x:t xml:space="preserve">19.0”</x:t>
  </x:si>
  <x:si>
    <x:t xml:space="preserve">60.0 lb</x:t>
  </x:si>
  <x:si>
    <x:t xml:space="preserve">7</x:t>
  </x:si>
  <x:si>
    <x:t xml:space="preserve">Quantum Ultra II 305 five-slot frame selected; 610 frame is 60-1900-01; cards/configuration extra.</x:t>
  </x:si>
  <x:si>
    <x:t xml:space="preserve">DTP2 CrossPoint 82</x:t>
  </x:si>
  <x:si>
    <x:t xml:space="preserve">60-1812-01</x:t>
  </x:si>
  <x:si>
    <x:t xml:space="preserve">left:HDMI:HDMI In 1-4|left:RJ-45:DTP2 In 5-8|left:Captive Screw:Mic/Line In|left:USB-B:USB Audio|right:HDMI:HDMI Out 1-2|right:RJ-45:DTP2 Out 1-2|right:Captive Screw:Amp Out|right:RJ-45:EXP</x:t>
  </x:si>
  <x:si>
    <x:t xml:space="preserve">Legacy public 2024 MSRP.</x:t>
  </x:si>
  <x:si>
    <x:t xml:space="preserve">DTP CrossPoint 82 4K</x:t>
  </x:si>
  <x:si>
    <x:t xml:space="preserve">60-1583-01</x:t>
  </x:si>
  <x:si>
    <x:t xml:space="preserve">left:HDMI:HDMI In 1-4|left:RJ-45:DTP In 5-8|left:Captive Screw:Mic/Line (4ch)|left:USB-B:USB Audio|right:HDMI:HDMI Out 1-2|right:RJ-45:DTP Out 1-2|right:Captive Screw:Amp Out|right:RJ-45:EXP</x:t>
  </x:si>
  <x:si>
    <x:t xml:space="preserve">DTP CrossPoint 86 4K</x:t>
  </x:si>
  <x:si>
    <x:t xml:space="preserve">60-1382-01</x:t>
  </x:si>
  <x:si>
    <x:t xml:space="preserve">XTP T HD 4K</x:t>
  </x:si>
  <x:si>
    <x:t xml:space="preserve">60-1524-12</x:t>
  </x:si>
  <x:si>
    <x:t xml:space="preserve">left:HDMI:HDMI In|left:Captive Screw:Analog Audio Embed|right:HDMI:HDMI Loop|right:RJ-45:XTP Out (330ft)|right:Captive Screw:RS-232/IR|right:RJ-45:Ethernet</x:t>
  </x:si>
  <x:si>
    <x:t xml:space="preserve">XTP T HWP 4K 231 D</x:t>
  </x:si>
  <x:si>
    <x:t xml:space="preserve">left:HDMI:HDMI In|right:RJ-45:XTP Out (330ft)</x:t>
  </x:si>
  <x:si>
    <x:t xml:space="preserve">Prefix corrected: listed product/ports correspond to DTP T HWP 4K 231 D, black.</x:t>
  </x:si>
  <x:si>
    <x:t xml:space="preserve">XTP T USW 103</x:t>
  </x:si>
  <x:si>
    <x:t xml:space="preserve">60-1717-12</x:t>
  </x:si>
  <x:si>
    <x:t xml:space="preserve">left:HDMI:HDMI In 1|left:HDMI:HDMI In 2|left:HDMI:HDMI In 3|right:HDMI:HDMI Out|right:RJ-45:XTP Out (330ft)|right:Captive Screw:RS-232</x:t>
  </x:si>
  <x:si>
    <x:t xml:space="preserve">Normalized to current XTP T USW 103 4K.</x:t>
  </x:si>
  <x:si>
    <x:t xml:space="preserve">XTP T FB 202</x:t>
  </x:si>
  <x:si>
    <x:t xml:space="preserve">60-1383-12</x:t>
  </x:si>
  <x:si>
    <x:t xml:space="preserve">left:HDMI:HDMI In 1|left:HDMI:HDMI In 2|right:RJ-45:XTP Out (330ft)</x:t>
  </x:si>
  <x:si>
    <x:t xml:space="preserve">XTP T UWP 4K 232 D</x:t>
  </x:si>
  <x:si>
    <x:t xml:space="preserve">left:HDMI:HDMI In|left:Captive Screw:VGA + Audio In|right:RJ-45:XTP Out (330ft)</x:t>
  </x:si>
  <x:si>
    <x:t xml:space="preserve">Prefix corrected: listed product/ports correspond to DTP T UWP 4K 232 D, black.</x:t>
  </x:si>
  <x:si>
    <x:t xml:space="preserve">XTP T DSW 4K 233</x:t>
  </x:si>
  <x:si>
    <x:t xml:space="preserve">left:HDMI:HDMI In|left:Captive Screw:VGA In|left:DisplayPort:DP In|left:Captive Screw:Audio Embed|right:RJ-45:XTP Out (330ft)|right:Captive Screw:RS-232</x:t>
  </x:si>
  <x:si>
    <x:t xml:space="preserve">Prefix corrected: listed product corresponds to DTP T DSW 4K 233.</x:t>
  </x:si>
  <x:si>
    <x:t xml:space="preserve">XTP R HD 4K</x:t>
  </x:si>
  <x:si>
    <x:t xml:space="preserve">60-1524-13</x:t>
  </x:si>
  <x:si>
    <x:t xml:space="preserve">left:RJ-45:XTP In (330ft)|right:HDMI:HDMI Out|right:Captive Screw:Audio De-embed|right:Captive Screw:RS-232/IR|right:RJ-45:Ethernet|right:Captive Screw:Relay (2)</x:t>
  </x:si>
  <x:si>
    <x:t xml:space="preserve">XTP SR HD 4K</x:t>
  </x:si>
  <x:si>
    <x:t xml:space="preserve">60-1524-02</x:t>
  </x:si>
  <x:si>
    <x:t xml:space="preserve">left:RJ-45:XTP In (330ft)|right:HDMI:HDMI Scaled Out (Vector 4K)|right:Captive Screw:S/PDIF + Audio De-embed|right:Captive Screw:RS-232/IR|right:RJ-45:Ethernet|right:Captive Screw:Relay (2)</x:t>
  </x:si>
  <x:si>
    <x:t xml:space="preserve">Current 2026 SKU selected; legacy SKU was 60-1524-01.</x:t>
  </x:si>
  <x:si>
    <x:t xml:space="preserve">XTP R HWP 201 4K</x:t>
  </x:si>
  <x:si>
    <x:t xml:space="preserve">60-1629-22</x:t>
  </x:si>
  <x:si>
    <x:t xml:space="preserve">left:RJ-45:XTP In (330ft)|right:HDMI:HDMI Out (90Â° wallplate)</x:t>
  </x:si>
  <x:si>
    <x:t xml:space="preserve">Black wallplate selected; white is 60-1629-23. Legacy public 2024 MSRP.</x:t>
  </x:si>
  <x:si>
    <x:t xml:space="preserve">XTP R HD 4K Plus</x:t>
  </x:si>
  <x:si>
    <x:t xml:space="preserve">left:RJ-45:XTP In (330ft)|right:HDMI:HDMI Out|right:Captive Screw:Audio De-embed|right:Captive Screw:RS-232/IR|right:RJ-45:Ethernet</x:t>
  </x:si>
  <x:si>
    <x:t xml:space="preserve">No separate Plus SKU; normalized to XTP R HD 4K.</x:t>
  </x:si>
  <x:si>
    <x:t xml:space="preserve">XTP T FB 4K</x:t>
  </x:si>
  <x:si>
    <x:t xml:space="preserve">60-1276-11</x:t>
  </x:si>
  <x:si>
    <x:t xml:space="preserve">left:HDMI:HDMI In|right:LC Fiber:Fiber Out (SM/MM)|right:Captive Screw:RS-232/IR</x:t>
  </x:si>
  <x:si>
    <x:t xml:space="preserve">No exact FB model; mapped to XTP FT HD 4K multimode fiber transmitter. Singlemode is 60-1276-12.</x:t>
  </x:si>
  <x:si>
    <x:t xml:space="preserve">XTP R FB 4K</x:t>
  </x:si>
  <x:si>
    <x:t xml:space="preserve">60-1276-21</x:t>
  </x:si>
  <x:si>
    <x:t xml:space="preserve">left:LC Fiber:Fiber In (SM/MM)|right:HDMI:HDMI Out|right:Captive Screw:RS-232/IR</x:t>
  </x:si>
  <x:si>
    <x:t xml:space="preserve">No exact FB model; mapped to retired XTP FR HD 4K multimode fiber receiver. Singlemode is 60-1276-22. Historical public MSRP.</x:t>
  </x:si>
  <x:si>
    <x:t xml:space="preserve">XTP SR FB 4K</x:t>
  </x:si>
  <x:si>
    <x:t xml:space="preserve">60-1278-31</x:t>
  </x:si>
  <x:si>
    <x:t xml:space="preserve">left:LC Fiber:Fiber In (SM/MM)|right:HDMI:HDMI Scaled Out (Vector 4K)|right:Captive Screw:Audio De-embed|right:Captive Screw:RS-232/IR</x:t>
  </x:si>
  <x:si>
    <x:t xml:space="preserve">No exact FB model; mapped to XTP SFR HD 4K multimode scaling receiver. Singlemode is 60-1278-32.</x:t>
  </x:si>
  <x:si>
    <x:t xml:space="preserve">XTP CP 4i 4K</x:t>
  </x:si>
  <x:si>
    <x:t xml:space="preserve">70-940-31</x:t>
  </x:si>
  <x:si>
    <x:t xml:space="preserve">left:RJ-45:XTP Inputs 1-4</x:t>
  </x:si>
  <x:si>
    <x:t xml:space="preserve">0.8”</x:t>
  </x:si>
  <x:si>
    <x:t xml:space="preserve">4.0”</x:t>
  </x:si>
  <x:si>
    <x:t xml:space="preserve">8.0”</x:t>
  </x:si>
  <x:si>
    <x:t xml:space="preserve">No — installs in compatible chassis</x:t>
  </x:si>
  <x:si>
    <x:t xml:space="preserve">N/A — mounts inside compatible chassis</x:t>
  </x:si>
  <x:si>
    <x:t xml:space="preserve">Powered by host chassis</x:t>
  </x:si>
  <x:si>
    <x:t xml:space="preserve">Host-chassis powered card</x:t>
  </x:si>
  <x:si>
    <x:t xml:space="preserve">XTP CP 4o 4K</x:t>
  </x:si>
  <x:si>
    <x:t xml:space="preserve">70-943-31</x:t>
  </x:si>
  <x:si>
    <x:t xml:space="preserve">right:RJ-45:XTP Outputs 1-4</x:t>
  </x:si>
  <x:si>
    <x:t xml:space="preserve">XTP II CP 4i HDMI</x:t>
  </x:si>
  <x:si>
    <x:t xml:space="preserve">70-1112-01</x:t>
  </x:si>
  <x:si>
    <x:t xml:space="preserve">left:HDMI:HDMI Inputs 1-4</x:t>
  </x:si>
  <x:si>
    <x:t xml:space="preserve">Normalized to XTP II CP 4i HD 4K PLUS; current 8K successor is 70-1262-01.</x:t>
  </x:si>
  <x:si>
    <x:t xml:space="preserve">XTP II CP 4o HDMI</x:t>
  </x:si>
  <x:si>
    <x:t xml:space="preserve">70-1113-01</x:t>
  </x:si>
  <x:si>
    <x:t xml:space="preserve">right:HDMI:HDMI Outputs 1-4</x:t>
  </x:si>
  <x:si>
    <x:t xml:space="preserve">Normalized to XTP II CP 4o HD 4K PLUS; current 8K successor is 70-1263-01.</x:t>
  </x:si>
  <x:si>
    <x:t xml:space="preserve">XTP CP 4i Fiber</x:t>
  </x:si>
  <x:si>
    <x:t xml:space="preserve">70-985-01</x:t>
  </x:si>
  <x:si>
    <x:t xml:space="preserve">left:LC Fiber:XTP Fiber Inputs 1-4</x:t>
  </x:si>
  <x:si>
    <x:t xml:space="preserve">Multimode fiber input board selected; singlemode is 70-985-02.</x:t>
  </x:si>
  <x:si>
    <x:t xml:space="preserve">XTP CP 4o Fiber</x:t>
  </x:si>
  <x:si>
    <x:t xml:space="preserve">70-986-01</x:t>
  </x:si>
  <x:si>
    <x:t xml:space="preserve">right:LC Fiber:XTP Fiber Outputs 1-4</x:t>
  </x:si>
  <x:si>
    <x:t xml:space="preserve">Multimode fiber output board selected; singlemode is 70-986-02.</x:t>
  </x:si>
  <x:si>
    <x:t xml:space="preserve">XTP CP 4i 3G-SDI</x:t>
  </x:si>
  <x:si>
    <x:t xml:space="preserve">70-1171-01</x:t>
  </x:si>
  <x:si>
    <x:t xml:space="preserve">left:BNC:3G-SDI Inputs 1-4</x:t>
  </x:si>
  <x:si>
    <x:t xml:space="preserve">3G-SDI board is retired; mapped to current 12G-SDI replacement.</x:t>
  </x:si>
  <x:si>
    <x:t xml:space="preserve">DXP 42 HD 8K</x:t>
  </x:si>
  <x:si>
    <x:t xml:space="preserve">60-1879-01</x:t>
  </x:si>
  <x:si>
    <x:t xml:space="preserve">left:HDMI:HDMI In 1|left:HDMI:HDMI In 2|left:HDMI:HDMI In 3|left:HDMI:HDMI In 4|right:HDMI:HDMI Out 1|right:HDMI:HDMI Out 2</x:t>
  </x:si>
  <x:si>
    <x:t xml:space="preserve">DXP HD 4K Plus 44</x:t>
  </x:si>
  <x:si>
    <x:t xml:space="preserve">60-1493-21</x:t>
  </x:si>
  <x:si>
    <x:t xml:space="preserve">left:HDMI:HDMI In 1-4|right:HDMI:HDMI Out 1-4|right:Captive Screw:Audio De-embed</x:t>
  </x:si>
  <x:si>
    <x:t xml:space="preserve">Actual model order is DXP 44 HD 4K PLUS.</x:t>
  </x:si>
  <x:si>
    <x:t xml:space="preserve">DXP HD 4K Plus 88</x:t>
  </x:si>
  <x:si>
    <x:t xml:space="preserve">60-1495-21</x:t>
  </x:si>
  <x:si>
    <x:t xml:space="preserve">left:HDMI:HDMI In 1-8|right:HDMI:HDMI Out 1-8|right:Captive Screw:Audio De-embed</x:t>
  </x:si>
  <x:si>
    <x:t xml:space="preserve">Actual model order is DXP 88 HD 4K PLUS.</x:t>
  </x:si>
  <x:si>
    <x:t xml:space="preserve">NAV E 501</x:t>
  </x:si>
  <x:si>
    <x:t xml:space="preserve">60-1525-01</x:t>
  </x:si>
  <x:si>
    <x:t xml:space="preserve">left:HDMI:HDMI In|left:RJ-45:Ethernet Pass|left:USB:USB|right:RJ-45:1G IP (PURE3)</x:t>
  </x:si>
  <x:si>
    <x:t xml:space="preserve">NAV E 511</x:t>
  </x:si>
  <x:si>
    <x:t xml:space="preserve">60-1958-05</x:t>
  </x:si>
  <x:si>
    <x:t xml:space="preserve">left:HDMI:HDMI In|left:USB:USB|right:LC Fiber:1G Fiber (PURE3)|right:RJ-45:Ethernet Pass</x:t>
  </x:si>
  <x:si>
    <x:t xml:space="preserve">Multimode fiber variant selected; singlemode is 60-1958-06.</x:t>
  </x:si>
  <x:si>
    <x:t xml:space="preserve">NAV E 201 D</x:t>
  </x:si>
  <x:si>
    <x:t xml:space="preserve">60-1525-05</x:t>
  </x:si>
  <x:si>
    <x:t xml:space="preserve">left:HDMI:HDMI In|right:RJ-45:1G IP (PURE3)</x:t>
  </x:si>
  <x:si>
    <x:t xml:space="preserve">PoE or external DC power supply</x:t>
  </x:si>
  <x:si>
    <x:t xml:space="preserve">Black wallplate selected; white is 60-1525-06.</x:t>
  </x:si>
  <x:si>
    <x:t xml:space="preserve">NAV E 401 D</x:t>
  </x:si>
  <x:si>
    <x:t xml:space="preserve">60-1525-07</x:t>
  </x:si>
  <x:si>
    <x:t xml:space="preserve">left:HDMI:HDMI In|left:RJ-45:Ethernet Pass|right:RJ-45:1G IP (PURE3)</x:t>
  </x:si>
  <x:si>
    <x:t xml:space="preserve">Black wallplate selected; white is 60-1525-08.</x:t>
  </x:si>
  <x:si>
    <x:t xml:space="preserve">NAV 10E 501</x:t>
  </x:si>
  <x:si>
    <x:t xml:space="preserve">60-1572-01</x:t>
  </x:si>
  <x:si>
    <x:t xml:space="preserve">left:HDMI:HDMI In|left:RJ-45:Ethernet Pass|left:USB:USB|right:RJ-45:10G IP (PURE3)</x:t>
  </x:si>
  <x:si>
    <x:t xml:space="preserve">Multimode fiber variant selected; singlemode is 60-1572-02.</x:t>
  </x:si>
  <x:si>
    <x:t xml:space="preserve">NAV 10E 201 D</x:t>
  </x:si>
  <x:si>
    <x:t xml:space="preserve">60-1572-21</x:t>
  </x:si>
  <x:si>
    <x:t xml:space="preserve">left:HDMI:HDMI In|right:RJ-45:10G IP (PURE3)</x:t>
  </x:si>
  <x:si>
    <x:t xml:space="preserve">Black multimode variant selected; black singlemode is 60-1572-22.</x:t>
  </x:si>
  <x:si>
    <x:t xml:space="preserve">NAV 10E 401 D</x:t>
  </x:si>
  <x:si>
    <x:t xml:space="preserve">60-1572-25</x:t>
  </x:si>
  <x:si>
    <x:t xml:space="preserve">left:HDMI:HDMI In|left:RJ-45:Ethernet Pass|right:RJ-45:10G IP (PURE3)</x:t>
  </x:si>
  <x:si>
    <x:t xml:space="preserve">Black multimode variant selected; black singlemode is 60-1572-26.</x:t>
  </x:si>
  <x:si>
    <x:t xml:space="preserve">NAV D 121</x:t>
  </x:si>
  <x:si>
    <x:t xml:space="preserve">60-2040-03</x:t>
  </x:si>
  <x:si>
    <x:t xml:space="preserve">left:RJ-45:1G IP (PURE3)|right:HDMI:HDMI Out</x:t>
  </x:si>
  <x:si>
    <x:t xml:space="preserve">NAV SD 511</x:t>
  </x:si>
  <x:si>
    <x:t xml:space="preserve">60-1958-07</x:t>
  </x:si>
  <x:si>
    <x:t xml:space="preserve">left:LC Fiber:1G Fiber (PURE3)|right:HDMI:HDMI Scaled Out|right:USB:USB|right:RJ-45:Ethernet Pass</x:t>
  </x:si>
  <x:si>
    <x:t xml:space="preserve">Multimode fiber variant selected; singlemode is 60-1958-08.</x:t>
  </x:si>
  <x:si>
    <x:t xml:space="preserve">left:RJ-45:1G IP (PURE3)|right:HDMI:HDMI Scaled Out|right:USB:USB|right:RJ-45:Ethernet Pass</x:t>
  </x:si>
  <x:si>
    <x:t xml:space="preserve">NAV 10SD 101</x:t>
  </x:si>
  <x:si>
    <x:t xml:space="preserve">60-1572-19</x:t>
  </x:si>
  <x:si>
    <x:t xml:space="preserve">left:RJ-45:10G IP (PURE3)|right:HDMI:HDMI Scaled Out</x:t>
  </x:si>
  <x:si>
    <x:t xml:space="preserve">Multimode fiber variant selected; singlemode is 60-1572-20.</x:t>
  </x:si>
  <x:si>
    <x:t xml:space="preserve">NAV 10SD 501</x:t>
  </x:si>
  <x:si>
    <x:t xml:space="preserve">60-1572-07</x:t>
  </x:si>
  <x:si>
    <x:t xml:space="preserve">left:RJ-45:10G IP (PURE3)|right:HDMI:HDMI Scaled Out|right:USB:USB|right:RJ-45:Ethernet Pass</x:t>
  </x:si>
  <x:si>
    <x:t xml:space="preserve">Multimode fiber variant selected; singlemode is 60-1572-08.</x:t>
  </x:si>
  <x:si>
    <x:t xml:space="preserve">Streaming and Recording</x:t>
  </x:si>
  <x:si>
    <x:t xml:space="preserve">SMP 401</x:t>
  </x:si>
  <x:si>
    <x:t xml:space="preserve">60-1825-01</x:t>
  </x:si>
  <x:si>
    <x:t xml:space="preserve">#d9eaf7</x:t>
  </x:si>
  <x:si>
    <x:t xml:space="preserve">left:HDMI:HDMI In 1|left:HDMI:HDMI In 2|left:HDMI:HDMI In 3|left:HDMI:HDMI In 4|left:BNC:SDI In|right:RJ-45:Stream Out (4K)|right:Captive Screw:RS-232</x:t>
  </x:si>
  <x:si>
    <x:t xml:space="preserve">SMP 352</x:t>
  </x:si>
  <x:si>
    <x:t xml:space="preserve">60-1634-01</x:t>
  </x:si>
  <x:si>
    <x:t xml:space="preserve">left:HDMI:HDMI In 1|left:HDMI:HDMI In 2|left:BNC:SDI In|right:RJ-45:Stream Out (Dual H.264)|right:Captive Screw:RS-232</x:t>
  </x:si>
  <x:si>
    <x:t xml:space="preserve">Base 80 GB SSD / dual-recording model selected; storage/3G-SDI variants use different SKUs.</x:t>
  </x:si>
  <x:si>
    <x:t xml:space="preserve">SME 211</x:t>
  </x:si>
  <x:si>
    <x:t xml:space="preserve">60-1763-01</x:t>
  </x:si>
  <x:si>
    <x:t xml:space="preserve">left:HDMI:HDMI In|right:RJ-45:Stream Out (H.264)</x:t>
  </x:si>
  <x:si>
    <x:t xml:space="preserve">SMD 202</x:t>
  </x:si>
  <x:si>
    <x:t xml:space="preserve">60-1306-01</x:t>
  </x:si>
  <x:si>
    <x:t xml:space="preserve">left:RJ-45:Stream In (H.264)|right:HDMI:HDMI Out|right:Captive Screw:Audio Out</x:t>
  </x:si>
  <x:si>
    <x:t xml:space="preserve">SMD 101</x:t>
  </x:si>
  <x:si>
    <x:t xml:space="preserve">60-1305-01</x:t>
  </x:si>
  <x:si>
    <x:t xml:space="preserve">left:RJ-45:Stream In (H.264)|right:HDMI:HDMI Out</x:t>
  </x:si>
  <x:si>
    <x:t xml:space="preserve">NBP 50</x:t>
  </x:si>
  <x:si>
    <x:t xml:space="preserve">60-1953-01</x:t>
  </x:si>
  <x:si>
    <x:t xml:space="preserve">1.2”</x:t>
  </x:si>
  <x:si>
    <x:t xml:space="preserve">0.5 lb</x:t>
  </x:si>
  <x:si>
    <x:t xml:space="preserve">NBP 100</x:t>
  </x:si>
  <x:si>
    <x:t xml:space="preserve">60-1794-01</x:t>
  </x:si>
  <x:si>
    <x:t xml:space="preserve">NBP 105 D</x:t>
  </x:si>
  <x:si>
    <x:t xml:space="preserve">60-1688-01</x:t>
  </x:si>
  <x:si>
    <x:t xml:space="preserve">left:RJ-45:PoE Network</x:t>
  </x:si>
  <x:si>
    <x:t xml:space="preserve">1.5”</x:t>
  </x:si>
  <x:si>
    <x:t xml:space="preserve">NBP 106 D</x:t>
  </x:si>
  <x:si>
    <x:t xml:space="preserve">60-1817-01</x:t>
  </x:si>
  <x:si>
    <x:t xml:space="preserve">NBP 108 D</x:t>
  </x:si>
  <x:si>
    <x:t xml:space="preserve">60-1818-01</x:t>
  </x:si>
  <x:si>
    <x:t xml:space="preserve">NBP 110 D</x:t>
  </x:si>
  <x:si>
    <x:t xml:space="preserve">60-1689-01</x:t>
  </x:si>
  <x:si>
    <x:t xml:space="preserve">NBP VC1 D</x:t>
  </x:si>
  <x:si>
    <x:t xml:space="preserve">60-2036-01</x:t>
  </x:si>
  <x:si>
    <x:t xml:space="preserve">NBP VC2 D</x:t>
  </x:si>
  <x:si>
    <x:t xml:space="preserve">60-2037-01</x:t>
  </x:si>
  <x:si>
    <x:t xml:space="preserve">NBP 104 EU</x:t>
  </x:si>
  <x:si>
    <x:t xml:space="preserve">60-2050-01</x:t>
  </x:si>
  <x:si>
    <x:t xml:space="preserve">NBP 108 EU</x:t>
  </x:si>
  <x:si>
    <x:t xml:space="preserve">60-2051-01</x:t>
  </x:si>
  <x:si>
    <x:t xml:space="preserve">NBP VC1 EU</x:t>
  </x:si>
  <x:si>
    <x:t xml:space="preserve">60-2052-01</x:t>
  </x:si>
  <x:si>
    <x:t xml:space="preserve">NBP VC2 EU</x:t>
  </x:si>
  <x:si>
    <x:t xml:space="preserve">60-2053-01</x:t>
  </x:si>
  <x:si>
    <x:t xml:space="preserve">NBP 1200C</x:t>
  </x:si>
  <x:si>
    <x:t xml:space="preserve">60-1835-01</x:t>
  </x:si>
  <x:si>
    <x:t xml:space="preserve">10.2”</x:t>
  </x:si>
  <x:si>
    <x:t xml:space="preserve">Black Cable Cubby model selected; brushed aluminum is 60-1835-08.</x:t>
  </x:si>
  <x:si>
    <x:t xml:space="preserve">IPCP Pro xi Power</x:t>
  </x:si>
  <x:si>
    <x:t xml:space="preserve">60-1910-01</x:t>
  </x:si>
  <x:si>
    <x:t xml:space="preserve">left:RJ-45:LAN|right:IEC / AC Outlet:AC Power Outlets (switched)|right:Captive Screw:RS-232</x:t>
  </x:si>
  <x:si>
    <x:t xml:space="preserve">0.5 A max</x:t>
  </x:si>
  <x:si>
    <x:t xml:space="preserve">Mapped by switched AC/device-control ports to IPCP Pro PCS1 xi.</x:t>
  </x:si>
  <x:si>
    <x:t xml:space="preserve">IPL EXP I/O</x:t>
  </x:si>
  <x:si>
    <x:t xml:space="preserve">60-1907-01</x:t>
  </x:si>
  <x:si>
    <x:t xml:space="preserve">left:RJ-45:PoE Network|right:Captive Screw:RS-232/IR/Relay/IO</x:t>
  </x:si>
  <x:si>
    <x:t xml:space="preserve">Mapped to IPL EXP RIO8.</x:t>
  </x:si>
  <x:si>
    <x:t xml:space="preserve">IPL EXP Power</x:t>
  </x:si>
  <x:si>
    <x:t xml:space="preserve">60-1956-01</x:t>
  </x:si>
  <x:si>
    <x:t xml:space="preserve">left:RJ-45:PoE Network|right:IEC / AC Outlet:AC Power Outlets (switched)</x:t>
  </x:si>
  <x:si>
    <x:t xml:space="preserve">Mapped to U.S./IEC IPL EXP PDU4H.</x:t>
  </x:si>
  <x:si>
    <x:t xml:space="preserve">MLC Plus 50</x:t>
  </x:si>
  <x:si>
    <x:t xml:space="preserve">60-1468-03</x:t>
  </x:si>
  <x:si>
    <x:t xml:space="preserve">left:RJ-45:PoE Network|right:Captive Screw:RS-232/IR</x:t>
  </x:si>
  <x:si>
    <x:t xml:space="preserve">0.50 A max</x:t>
  </x:si>
  <x:si>
    <x:t xml:space="preserve">MLC Plus 84</x:t>
  </x:si>
  <x:si>
    <x:t xml:space="preserve">60-1194-03</x:t>
  </x:si>
  <x:si>
    <x:t xml:space="preserve">Actual model is MLC Plus 84 D.</x:t>
  </x:si>
  <x:si>
    <x:t xml:space="preserve">MLC Plus 100</x:t>
  </x:si>
  <x:si>
    <x:t xml:space="preserve">60-1469-03</x:t>
  </x:si>
  <x:si>
    <x:t xml:space="preserve">MLC Plus 200</x:t>
  </x:si>
  <x:si>
    <x:t xml:space="preserve">60-1470-02</x:t>
  </x:si>
  <x:si>
    <x:t xml:space="preserve">MLC Plus 400</x:t>
  </x:si>
  <x:si>
    <x:t xml:space="preserve">60-2014-01</x:t>
  </x:si>
  <x:si>
    <x:t xml:space="preserve">MLC 55</x:t>
  </x:si>
  <x:si>
    <x:t xml:space="preserve">60-1390-03</x:t>
  </x:si>
  <x:si>
    <x:t xml:space="preserve">left:RJ-45:Network|right:Captive Screw:RS-232/IR</x:t>
  </x:si>
  <x:si>
    <x:t xml:space="preserve">Mapped to MLC 55 RS.</x:t>
  </x:si>
  <x:si>
    <x:t xml:space="preserve">MLC 60</x:t>
  </x:si>
  <x:si>
    <x:t xml:space="preserve">60-1005-02</x:t>
  </x:si>
  <x:si>
    <x:t xml:space="preserve">No exact MLC 60 found; nearest actual model MLC 62 RS D selected.</x:t>
  </x:si>
  <x:si>
    <x:t xml:space="preserve">MLC 226 IP</x:t>
  </x:si>
  <x:si>
    <x:t xml:space="preserve">60-600-02</x:t>
  </x:si>
  <x:si>
    <x:t xml:space="preserve">left:RJ-45:Network|right:Captive Screw:RS-232/IR/Relay</x:t>
  </x:si>
  <x:si>
    <x:t xml:space="preserve">XPA U 2004 FX</x:t>
  </x:si>
  <x:si>
    <x:t xml:space="preserve">60-2026-01</x:t>
  </x:si>
  <x:si>
    <x:t xml:space="preserve">left:Captive Screw:Audio In (4ch)|right:Captive Screw:Spkr Out (4ch 200W)</x:t>
  </x:si>
  <x:si>
    <x:t xml:space="preserve">3.0 A max @ 100 VAC</x:t>
  </x:si>
  <x:si>
    <x:t xml:space="preserve">XPA U 2008 FX</x:t>
  </x:si>
  <x:si>
    <x:t xml:space="preserve">60-2025-01</x:t>
  </x:si>
  <x:si>
    <x:t xml:space="preserve">left:Captive Screw:Audio In (8ch)|right:Captive Screw:Spkr Out (8ch 200W)</x:t>
  </x:si>
  <x:si>
    <x:t xml:space="preserve">XPA U 4004 FX</x:t>
  </x:si>
  <x:si>
    <x:t xml:space="preserve">60-2034-01</x:t>
  </x:si>
  <x:si>
    <x:t xml:space="preserve">left:Captive Screw:Audio In (4ch)|right:Captive Screw:Spkr Out (4ch 400W)</x:t>
  </x:si>
  <x:si>
    <x:t xml:space="preserve">5.0 A max @ 100 VAC</x:t>
  </x:si>
  <x:si>
    <x:t xml:space="preserve">XPA U 3502</x:t>
  </x:si>
  <x:si>
    <x:t xml:space="preserve">60-1955-01</x:t>
  </x:si>
  <x:si>
    <x:t xml:space="preserve">left:Captive Screw:Audio In (2ch)|right:Captive Screw:Spkr Out (2ch 350W)</x:t>
  </x:si>
  <x:si>
    <x:t xml:space="preserve">XPA U 358</x:t>
  </x:si>
  <x:si>
    <x:t xml:space="preserve">60-1759-01</x:t>
  </x:si>
  <x:si>
    <x:t xml:space="preserve">left:Captive Screw:Audio In (8ch)|right:Captive Screw:Spkr Out (8ch 35W Lo/Hi-Z)</x:t>
  </x:si>
  <x:si>
    <x:t xml:space="preserve">0.9 A max @ 100 VAC</x:t>
  </x:si>
  <x:si>
    <x:t xml:space="preserve">XPA U 358C</x:t>
  </x:si>
  <x:si>
    <x:t xml:space="preserve">60-1762-01</x:t>
  </x:si>
  <x:si>
    <x:t xml:space="preserve">left:Captive Screw:Audio In (8ch)|right:Captive Screw:Spkr Out (8ch 35W Combo)</x:t>
  </x:si>
  <x:si>
    <x:t xml:space="preserve">70V combo-amplifier variant selected; 100V is 60-1762-11.</x:t>
  </x:si>
  <x:si>
    <x:t xml:space="preserve">XPA U 758</x:t>
  </x:si>
  <x:si>
    <x:t xml:space="preserve">60-1863-01</x:t>
  </x:si>
  <x:si>
    <x:t xml:space="preserve">left:Captive Screw:Audio In (8ch)|right:Captive Screw:Spkr Out (8ch 75W Lo-Z)</x:t>
  </x:si>
  <x:si>
    <x:t xml:space="preserve">1.2 A max @ 100 VAC</x:t>
  </x:si>
  <x:si>
    <x:t xml:space="preserve">XPA U 1002</x:t>
  </x:si>
  <x:si>
    <x:t xml:space="preserve">60-1761-01</x:t>
  </x:si>
  <x:si>
    <x:t xml:space="preserve">left:Captive Screw:Audio In (2ch)|right:Captive Screw:Spkr Out (2ch 100W Lo/Hi-Z)</x:t>
  </x:si>
  <x:si>
    <x:t xml:space="preserve">1.8 A max @ 100 VAC</x:t>
  </x:si>
  <x:si>
    <x:t xml:space="preserve">XPA U 1004</x:t>
  </x:si>
  <x:si>
    <x:t xml:space="preserve">60-1760-01</x:t>
  </x:si>
  <x:si>
    <x:t xml:space="preserve">left:Captive Screw:Audio In (4ch)|right:Captive Screw:Spkr Out (4ch 100W Lo/Hi-Z)</x:t>
  </x:si>
  <x:si>
    <x:t xml:space="preserve">MPA 152 Plus</x:t>
  </x:si>
  <x:si>
    <x:t xml:space="preserve">60-844-03</x:t>
  </x:si>
  <x:si>
    <x:t xml:space="preserve">left:Captive Screw:Audio In (Stereo)|right:Captive Screw:Spkr Out (2ch 15W)</x:t>
  </x:si>
  <x:si>
    <x:t xml:space="preserve">3.0 A max</x:t>
  </x:si>
  <x:si>
    <x:t xml:space="preserve">MPA 601</x:t>
  </x:si>
  <x:si>
    <x:t xml:space="preserve">60-1449-01</x:t>
  </x:si>
  <x:si>
    <x:t xml:space="preserve">left:Captive Screw:Audio In (Mono)|right:Captive Screw:Spkr Out (Mono 60W 70V/100V)</x:t>
  </x:si>
  <x:si>
    <x:t xml:space="preserve">70V variant selected; 100V is 60-1449-11.</x:t>
  </x:si>
  <x:si>
    <x:t xml:space="preserve">XPA U 1004 SB</x:t>
  </x:si>
  <x:si>
    <x:t xml:space="preserve">60-1301-01</x:t>
  </x:si>
  <x:si>
    <x:t xml:space="preserve">left:Captive Screw:Audio In (4ch)|right:Captive Screw:Spkr Out (4ch 100/200W Bridged)</x:t>
  </x:si>
  <x:si>
    <x:t xml:space="preserve">XPA U 2002 SB</x:t>
  </x:si>
  <x:si>
    <x:t xml:space="preserve">60-1758-01</x:t>
  </x:si>
  <x:si>
    <x:t xml:space="preserve">left:Captive Screw:Audio In (2ch)|right:Captive Screw:Spkr Out (2ch 200/400W Bridged)</x:t>
  </x:si>
  <x:si>
    <x:t xml:space="preserve">XPA 1002</x:t>
  </x:si>
  <x:si>
    <x:t xml:space="preserve">60-849-01</x:t>
  </x:si>
  <x:si>
    <x:t xml:space="preserve">left:Captive Screw:Audio In (2ch)|right:Captive Screw:Spkr Out (2ch 60/100W Lo-Z)</x:t>
  </x:si>
  <x:si>
    <x:t xml:space="preserve">XPA 2001</x:t>
  </x:si>
  <x:si>
    <x:t xml:space="preserve">60-850-01</x:t>
  </x:si>
  <x:si>
    <x:t xml:space="preserve">left:Captive Screw:Audio In (Mono)|right:Captive Screw:Spkr Out (Mono 200W 70V/100V)</x:t>
  </x:si>
  <x:si>
    <x:t xml:space="preserve">70V variant selected; 100V is 60-850-11.</x:t>
  </x:si>
  <x:si>
    <x:t xml:space="preserve">XPA 2004</x:t>
  </x:si>
  <x:si>
    <x:t xml:space="preserve">60-563-02</x:t>
  </x:si>
  <x:si>
    <x:t xml:space="preserve">17.0 lb</x:t>
  </x:si>
  <x:si>
    <x:t xml:space="preserve">XPA 4002</x:t>
  </x:si>
  <x:si>
    <x:t xml:space="preserve">60-1244-01</x:t>
  </x:si>
  <x:si>
    <x:t xml:space="preserve">left:Captive Screw:Audio In (2ch)|right:Captive Screw:Spkr Out (2ch 400W)</x:t>
  </x:si>
  <x:si>
    <x:t xml:space="preserve">NetPA U 2004 FX</x:t>
  </x:si>
  <x:si>
    <x:t xml:space="preserve">left:RJ-45:Dante In (4ch)|left:RJ-45:Network|right:Captive Screw:Spkr Out (4ch 200W)</x:t>
  </x:si>
  <x:si>
    <x:t xml:space="preserve">NetPA U 2008 FX</x:t>
  </x:si>
  <x:si>
    <x:t xml:space="preserve">left:RJ-45:Dante In (8ch)|left:RJ-45:Network|right:Captive Screw:Spkr Out (8ch 200W)</x:t>
  </x:si>
  <x:si>
    <x:t xml:space="preserve">NetPA U 4004 FX</x:t>
  </x:si>
  <x:si>
    <x:t xml:space="preserve">60-2035-01</x:t>
  </x:si>
  <x:si>
    <x:t xml:space="preserve">left:RJ-45:Dante In (4ch)|left:RJ-45:Network|right:Captive Screw:Spkr Out (4ch 400W)</x:t>
  </x:si>
  <x:si>
    <x:t xml:space="preserve">NetPA U 8001 SUB</x:t>
  </x:si>
  <x:si>
    <x:t xml:space="preserve">60-1866-01</x:t>
  </x:si>
  <x:si>
    <x:t xml:space="preserve">left:RJ-45:Dante In (Mono)|left:RJ-45:Network|right:Captive Screw:Sub Out (Mono 800W)</x:t>
  </x:si>
  <x:si>
    <x:t xml:space="preserve">NetPA U 1002</x:t>
  </x:si>
  <x:si>
    <x:t xml:space="preserve">60-1767-01</x:t>
  </x:si>
  <x:si>
    <x:t xml:space="preserve">left:RJ-45:Dante In (2ch)|left:RJ-45:Network|right:Captive Screw:Spkr Out (2ch 100W)</x:t>
  </x:si>
  <x:si>
    <x:t xml:space="preserve">NetPA U 1004</x:t>
  </x:si>
  <x:si>
    <x:t xml:space="preserve">60-1766-01</x:t>
  </x:si>
  <x:si>
    <x:t xml:space="preserve">left:RJ-45:Dante In (4ch)|left:RJ-45:Network|right:Captive Screw:Spkr Out (4ch 100W)</x:t>
  </x:si>
  <x:si>
    <x:t xml:space="preserve">NetPA U 2002 SB</x:t>
  </x:si>
  <x:si>
    <x:t xml:space="preserve">60-1757-01</x:t>
  </x:si>
  <x:si>
    <x:t xml:space="preserve">left:RJ-45:Dante In (2ch)|left:RJ-45:Network|right:Captive Screw:Spkr Out (2ch 200/400W Bridged)</x:t>
  </x:si>
  <x:si>
    <x:t xml:space="preserve">NetPA 1001-70V AT</x:t>
  </x:si>
  <x:si>
    <x:t xml:space="preserve">60-1501-01</x:t>
  </x:si>
  <x:si>
    <x:t xml:space="preserve">left:RJ-45:Dante In (Mono)|left:RJ-45:Network|right:Captive Screw:Spkr Out (Mono 100W 70V)</x:t>
  </x:si>
  <x:si>
    <x:t xml:space="preserve">USB Switcher and Extender</x:t>
  </x:si>
  <x:si>
    <x:t xml:space="preserve">USB Plus Matrix Ctrl</x:t>
  </x:si>
  <x:si>
    <x:t xml:space="preserve">42-267-01</x:t>
  </x:si>
  <x:si>
    <x:t xml:space="preserve">left:RJ-45:Network (to USB Tx/Rx)|right:Captive Screw:RS-232|right:RJ-45:GbE to Tx/Rx (up to 64)</x:t>
  </x:si>
  <x:si>
    <x:t xml:space="preserve">Actual model is USB Plus Matrix Controller.</x:t>
  </x:si>
  <x:si>
    <x:t xml:space="preserve">SMX USB 44</x:t>
  </x:si>
  <x:si>
    <x:t xml:space="preserve">70-672-01</x:t>
  </x:si>
  <x:si>
    <x:t xml:space="preserve">left:USB-A:USB Host 1-4|right:USB:USB Peripheral 1-4</x:t>
  </x:si>
  <x:si>
    <x:t xml:space="preserve">Retired SMX 44 USB matrix switcher board; historical public MSRP.</x:t>
  </x:si>
  <x:si>
    <x:t xml:space="preserve">SMX USB 84</x:t>
  </x:si>
  <x:si>
    <x:t xml:space="preserve">70-672-02</x:t>
  </x:si>
  <x:si>
    <x:t xml:space="preserve">left:USB-A:USB Host 1-8|right:USB:USB Peripheral 1-4</x:t>
  </x:si>
  <x:si>
    <x:t xml:space="preserve">Retired SMX 84 USB matrix switcher board; historical public MSRP.</x:t>
  </x:si>
  <x:si>
    <x:t xml:space="preserve">USB Ext Plus T</x:t>
  </x:si>
  <x:si>
    <x:t xml:space="preserve">60-1471-12</x:t>
  </x:si>
  <x:si>
    <x:t xml:space="preserve">left:USB-A:USB Host|right:RJ-45:CATx Out (330ft/600m GbE)</x:t>
  </x:si>
  <x:si>
    <x:t xml:space="preserve">Actual model is USB Extender Plus T.</x:t>
  </x:si>
  <x:si>
    <x:t xml:space="preserve">USB Ext Plus R</x:t>
  </x:si>
  <x:si>
    <x:t xml:space="preserve">60-1471-13</x:t>
  </x:si>
  <x:si>
    <x:t xml:space="preserve">left:RJ-45:CATx In|right:USB:USB Hub (4-port)</x:t>
  </x:si>
  <x:si>
    <x:t xml:space="preserve">Actual model is USB Extender Plus R.</x:t>
  </x:si>
  <x:si>
    <x:t xml:space="preserve">SW2 USB</x:t>
  </x:si>
  <x:si>
    <x:t xml:space="preserve">60-952-02</x:t>
  </x:si>
  <x:si>
    <x:t xml:space="preserve">left:USB-A:USB Host 1|left:USB-A:USB Host 2|right:USB:USB Peripheral|right:Captive Screw:RS-232</x:t>
  </x:si>
  <x:si>
    <x:t xml:space="preserve">SW4 USB Plus</x:t>
  </x:si>
  <x:si>
    <x:t xml:space="preserve">60-954-02</x:t>
  </x:si>
  <x:si>
    <x:t xml:space="preserve">left:USB-A:USB Host 1|left:USB-A:USB Host 2|left:USB-A:USB Host 3|left:USB-A:USB Host 4|right:USB:USB Peripheral|right:Captive Screw:RS-232</x:t>
  </x:si>
  <x:si>
    <x:t xml:space="preserve">USB-C to HDMI</x:t>
  </x:si>
  <x:si>
    <x:t xml:space="preserve">60-1883-01</x:t>
  </x:si>
  <x:si>
    <x:t xml:space="preserve">left:USB-C:USB-C In|right:HDMI:HDMI Out</x:t>
  </x:si>
  <x:si>
    <x:t xml:space="preserve">0.6”</x:t>
  </x:si>
  <x:si>
    <x:t xml:space="preserve">No — cable adapter</x:t>
  </x:si>
  <x:si>
    <x:t xml:space="preserve">5 VDC</x:t>
  </x:si>
  <x:si>
    <x:t xml:space="preserve">0.20 A max</x:t>
  </x:si>
  <x:si>
    <x:t xml:space="preserve">USB bus powered</x:t>
  </x:si>
  <x:si>
    <x:t xml:space="preserve">Mapped to USB-C HD 101 interface.</x:t>
  </x:si>
  <x:si>
    <x:t xml:space="preserve">UPI 100</x:t>
  </x:si>
  <x:si>
    <x:t xml:space="preserve">60-2062-01</x:t>
  </x:si>
  <x:si>
    <x:t xml:space="preserve">left:USB-C:USB-C Pass-Through|right:USB-C:USB-C Out (100W PD)</x:t>
  </x:si>
  <x:si>
    <x:t xml:space="preserve">0.9 A max</x:t>
  </x:si>
  <x:si>
    <x:t xml:space="preserve">USB bus powered / external USB power</x:t>
  </x:si>
  <x:si>
    <x:t xml:space="preserve">Actual model is UPI 100 Power Inserter.</x:t>
  </x:si>
  <x:si>
    <x:t xml:space="preserve">FF 120T</x:t>
  </x:si>
  <x:si>
    <x:t xml:space="preserve">42-120-13</x:t>
  </x:si>
  <x:si>
    <x:t xml:space="preserve">left:Captive Screw:70V/100V Input</x:t>
  </x:si>
  <x:si>
    <x:t xml:space="preserve">13.0 lb</x:t>
  </x:si>
  <x:si>
    <x:t xml:space="preserve">SF 26CT</x:t>
  </x:si>
  <x:si>
    <x:t xml:space="preserve">60-1310-03</x:t>
  </x:si>
  <x:si>
    <x:t xml:space="preserve">left:Captive Screw:70V/100V Input (64W max)</x:t>
  </x:si>
  <x:si>
    <x:t xml:space="preserve">8.34"</x:t>
  </x:si>
  <x:si>
    <x:t xml:space="preserve">10.64"</x:t>
  </x:si>
  <x:si>
    <x:t xml:space="preserve">Circular product: physical size recorded as Height × Diameter.</x:t>
  </x:si>
  <x:si>
    <x:t xml:space="preserve">SF 26CT LP</x:t>
  </x:si>
  <x:si>
    <x:t xml:space="preserve">60-1881-03</x:t>
  </x:si>
  <x:si>
    <x:t xml:space="preserve">4.72"</x:t>
  </x:si>
  <x:si>
    <x:t xml:space="preserve">SF 26X</x:t>
  </x:si>
  <x:si>
    <x:t xml:space="preserve">60-1312-03</x:t>
  </x:si>
  <x:si>
    <x:t xml:space="preserve">left:Captive Screw:8ohm Input</x:t>
  </x:si>
  <x:si>
    <x:t xml:space="preserve">12.6”</x:t>
  </x:si>
  <x:si>
    <x:t xml:space="preserve">8.5”</x:t>
  </x:si>
  <x:si>
    <x:t xml:space="preserve">7.0 lb</x:t>
  </x:si>
  <x:si>
    <x:t xml:space="preserve">SF 3C LP</x:t>
  </x:si>
  <x:si>
    <x:t xml:space="preserve">60-1311-13</x:t>
  </x:si>
  <x:si>
    <x:t xml:space="preserve">4.4"</x:t>
  </x:si>
  <x:si>
    <x:t xml:space="preserve">8.9"</x:t>
  </x:si>
  <x:si>
    <x:t xml:space="preserve">SF 3CT LP</x:t>
  </x:si>
  <x:si>
    <x:t xml:space="preserve">60-1311-03</x:t>
  </x:si>
  <x:si>
    <x:t xml:space="preserve">2.2 lb</x:t>
  </x:si>
  <x:si>
    <x:t xml:space="preserve">CS 123T</x:t>
  </x:si>
  <x:si>
    <x:t xml:space="preserve">42-242-03</x:t>
  </x:si>
  <x:si>
    <x:t xml:space="preserve">10.3"</x:t>
  </x:si>
  <x:si>
    <x:t xml:space="preserve">CS 1226T Plus</x:t>
  </x:si>
  <x:si>
    <x:t xml:space="preserve">42-244-03</x:t>
  </x:si>
  <x:si>
    <x:t xml:space="preserve">3.97"</x:t>
  </x:si>
  <x:si>
    <x:t xml:space="preserve">8.5 lb</x:t>
  </x:si>
  <x:si>
    <x:t xml:space="preserve">CS 3T</x:t>
  </x:si>
  <x:si>
    <x:t xml:space="preserve">60-1463-03</x:t>
  </x:si>
  <x:si>
    <x:t xml:space="preserve">5.1"</x:t>
  </x:si>
  <x:si>
    <x:t xml:space="preserve">5.0"</x:t>
  </x:si>
  <x:si>
    <x:t xml:space="preserve">CS 26T Plus</x:t>
  </x:si>
  <x:si>
    <x:t xml:space="preserve">60-1505-03</x:t>
  </x:si>
  <x:si>
    <x:t xml:space="preserve">SF 228T Plus</x:t>
  </x:si>
  <x:si>
    <x:t xml:space="preserve">60-1862-03</x:t>
  </x:si>
  <x:si>
    <x:t xml:space="preserve">left:Captive Screw:70V/100V Input (120W max)</x:t>
  </x:si>
  <x:si>
    <x:t xml:space="preserve">SF 26PT PoE</x:t>
  </x:si>
  <x:si>
    <x:t xml:space="preserve">60-2056-13</x:t>
  </x:si>
  <x:si>
    <x:t xml:space="preserve">left:RJ-45:Dante / PoE|right:Captive Screw:Speaker Output</x:t>
  </x:si>
  <x:si>
    <x:t xml:space="preserve">11.0"</x:t>
  </x:si>
  <x:si>
    <x:t xml:space="preserve">12.0"</x:t>
  </x:si>
  <x:si>
    <x:t xml:space="preserve">9.5 lb</x:t>
  </x:si>
  <x:si>
    <x:t xml:space="preserve">No SF 26PT PoE product exists; closest current Extron PoE/Dante speaker is one powered NF 4C LP with Dante and DSP. Verify design intent before ordering. Circular product: physical size recorded as Height × Diameter.</x:t>
  </x:si>
  <x:si>
    <x:t xml:space="preserve">SF 3PT</x:t>
  </x:si>
  <x:si>
    <x:t xml:space="preserve">60-1736-12</x:t>
  </x:si>
  <x:si>
    <x:t xml:space="preserve">6.83"</x:t>
  </x:si>
  <x:si>
    <x:t xml:space="preserve">5.31"</x:t>
  </x:si>
  <x:si>
    <x:t xml:space="preserve">Current black pair selected; current white is 60-1736-13. Circular product: physical size recorded as Height × Diameter.</x:t>
  </x:si>
  <x:si>
    <x:t xml:space="preserve">SF 26PT</x:t>
  </x:si>
  <x:si>
    <x:t xml:space="preserve">60-1752-02</x:t>
  </x:si>
  <x:si>
    <x:t xml:space="preserve">11.62"</x:t>
  </x:si>
  <x:si>
    <x:t xml:space="preserve">9.02"</x:t>
  </x:si>
  <x:si>
    <x:t xml:space="preserve">Black pair selected; white is 60-1752-03. Circular product: physical size recorded as Height × Diameter.</x:t>
  </x:si>
  <x:si>
    <x:t xml:space="preserve">SF 28PT</x:t>
  </x:si>
  <x:si>
    <x:t xml:space="preserve">60-1946-02</x:t>
  </x:si>
  <x:si>
    <x:t xml:space="preserve">13.30"</x:t>
  </x:si>
  <x:si>
    <x:t xml:space="preserve">11.00"</x:t>
  </x:si>
  <x:si>
    <x:t xml:space="preserve">14.0 lb</x:t>
  </x:si>
  <x:si>
    <x:t xml:space="preserve">Black pair selected; white is 60-1946-03. Circular product: physical size recorded as Height × Diameter.</x:t>
  </x:si>
  <x:si>
    <x:t xml:space="preserve">SB 33A</x:t>
  </x:si>
  <x:si>
    <x:t xml:space="preserve">60-1737-11</x:t>
  </x:si>
  <x:si>
    <x:t xml:space="preserve">left:Captive Screw:Line In|left:RCA:Line In|right:Captive Screw:Speaker Output</x:t>
  </x:si>
  <x:si>
    <x:t xml:space="preserve">33.0”</x:t>
  </x:si>
  <x:si>
    <x:t xml:space="preserve">12.0 lb</x:t>
  </x:si>
  <x:si>
    <x:t xml:space="preserve">46–55 inch size selected; larger display-size variants use 60-1737-12 through -16.</x:t>
  </x:si>
  <x:si>
    <x:t xml:space="preserve">SB 33A D</x:t>
  </x:si>
  <x:si>
    <x:t xml:space="preserve">left:RJ-45:Dante / Control|left:Captive Screw:Line In|right:Captive Screw:Speaker Output</x:t>
  </x:si>
  <x:si>
    <x:t xml:space="preserve">No SB 33 A Dante/D model exists; standard 46–55 inch SB 33 A selected. External Dante amplifier/interface required.</x:t>
  </x:si>
  <x:si>
    <x:t xml:space="preserve">SM 3</x:t>
  </x:si>
  <x:si>
    <x:t xml:space="preserve">42-133-02</x:t>
  </x:si>
  <x:si>
    <x:t xml:space="preserve">7.6”</x:t>
  </x:si>
  <x:si>
    <x:t xml:space="preserve">5.2”</x:t>
  </x:si>
  <x:si>
    <x:t xml:space="preserve">Black pair selected; white is 42-133-03.</x:t>
  </x:si>
  <x:si>
    <x:t xml:space="preserve">SM 26</x:t>
  </x:si>
  <x:si>
    <x:t xml:space="preserve">60-1308-02</x:t>
  </x:si>
  <x:si>
    <x:t xml:space="preserve">left:Captive Screw:8ohm/70V Input</x:t>
  </x:si>
  <x:si>
    <x:t xml:space="preserve">Black pair selected; white is 60-1308-03.</x:t>
  </x:si>
  <x:si>
    <x:t xml:space="preserve">SM 28</x:t>
  </x:si>
  <x:si>
    <x:t xml:space="preserve">60-1309-02</x:t>
  </x:si>
  <x:si>
    <x:t xml:space="preserve">10.0”</x:t>
  </x:si>
  <x:si>
    <x:t xml:space="preserve">Black pair selected; white is 60-1309-03.</x:t>
  </x:si>
  <x:si>
    <x:t xml:space="preserve">Subwoofer</x:t>
  </x:si>
  <x:si>
    <x:t xml:space="preserve">CS 68T Sub</x:t>
  </x:si>
  <x:si>
    <x:t xml:space="preserve">60-1941-03</x:t>
  </x:si>
  <x:si>
    <x:t xml:space="preserve">#d0e0e3</x:t>
  </x:si>
  <x:si>
    <x:t xml:space="preserve">16.0”</x:t>
  </x:si>
  <x:si>
    <x:t xml:space="preserve">No exact CS 68T Sub SKU found; mapped to closest current 70/100V in-ceiling subwoofer, SF 8CT SUB.</x:t>
  </x:si>
  <x:si>
    <x:t xml:space="preserve">DA2 HD 8K AE</x:t>
  </x:si>
  <x:si>
    <x:t xml:space="preserve">60-1870-12</x:t>
  </x:si>
  <x:si>
    <x:t xml:space="preserve">left:HDMI:HDMI In (8K)|right:HDMI:HDMI Out 1|right:HDMI:HDMI Out 2|right:Captive Screw:Audio De-embed</x:t>
  </x:si>
  <x:si>
    <x:t xml:space="preserve">DA2 HD 8K AI</x:t>
  </x:si>
  <x:si>
    <x:t xml:space="preserve">60-1870-13</x:t>
  </x:si>
  <x:si>
    <x:t xml:space="preserve">left:HDMI:HDMI In (8K)|left:Captive Screw:Audio Embed|right:HDMI:HDMI Out 1|right:HDMI:HDMI Out 2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</x:si>
</x:sst>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_(* #,##0.00_);_(* \(#,##0.00\);_(* \-??_);_(@_)"/>
    <x:numFmt numFmtId="166" formatCode="_(* #,##0_);_(* \(#,##0\);_(* \-_);_(@_)"/>
    <x:numFmt numFmtId="167" formatCode="_(\$* #,##0.00_);_(\$* \(#,##0.00\);_(\$* \-??_);_(@_)"/>
    <x:numFmt numFmtId="168" formatCode="_(\$* #,##0_);_(\$* \(#,##0\);_(\$* \-_);_(@_)"/>
    <x:numFmt numFmtId="169" formatCode="0%"/>
  </x:numFmts>
  <x:fonts count="6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color rgb="FF000000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  <x:fill>
      <x:patternFill patternType="solid">
        <x:fgColor rgb="FFE4DFEC"/>
      </x:patternFill>
    </x:fill>
    <x:fill>
      <x:patternFill patternType="solid">
        <x:fgColor rgb="FFD9EAD3"/>
      </x:patternFill>
    </x:fill>
    <x:fill>
      <x:patternFill patternType="solid">
        <x:fgColor rgb="FFFCE4EC"/>
      </x:patternFill>
    </x:fill>
    <x:fill>
      <x:patternFill patternType="solid">
        <x:fgColor rgb="FFE7E6E6"/>
      </x:patternFill>
    </x:fill>
    <x:fill>
      <x:patternFill patternType="solid">
        <x:fgColor rgb="FFF9EAD3"/>
      </x:patternFill>
    </x:fill>
    <x:fill>
      <x:patternFill patternType="solid">
        <x:fgColor rgb="FFD9EAF7"/>
      </x:patternFill>
    </x:fill>
    <x:fill>
      <x:patternFill patternType="solid">
        <x:fgColor rgb="FFD0E0E3"/>
      </x:patternFill>
    </x:fill>
  </x:fills>
  <x:borders count="1">
    <x:border diagonalUp="0" diagonalDown="0"/>
  </x:borders>
  <x:cellStyleXfs count="26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1" applyAlignment="1" applyProtection="1">
      <x:alignment horizontal="general" vertical="bottom" wrapText="0" shrinkToFit="0"/>
      <x:protection locked="1" hidden="0"/>
    </x:xf>
    <x:xf numFmtId="166" fontId="4" fillId="0" borderId="0" applyFont="1" applyBorder="1" applyAlignment="1" applyProtection="1">
      <x:alignment horizontal="general" vertical="bottom" wrapText="0" shrinkToFit="0"/>
      <x:protection locked="1" hidden="0"/>
    </x:xf>
    <x:xf numFmtId="167" fontId="4" fillId="0" borderId="0" applyFont="1" applyBorder="1" applyAlignment="1" applyProtection="1">
      <x:alignment horizontal="general" vertical="bottom" wrapText="0" shrinkToFit="0"/>
      <x:protection locked="1" hidden="0"/>
    </x:xf>
    <x:xf numFmtId="168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9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8">
    <x:xf numFmtId="164" fontId="0" fillId="0" borderId="0" xfId="0" applyFont="0" applyBorder="0" applyAlignment="0">
      <x:alignment horizontal="general" vertical="bottom" wrapText="0"/>
    </x:xf>
    <x:xf numFmtId="164" fontId="5" fillId="0" borderId="0" xfId="24" applyFont="0" applyBorder="1" applyAlignment="1">
      <x:alignment horizontal="general" vertical="bottom" wrapText="0"/>
    </x:xf>
    <x:xf numFmtId="164" fontId="5" fillId="0" borderId="0" xfId="24" applyFont="0" applyBorder="1" applyAlignment="0">
      <x:alignment horizontal="general" vertical="bottom" wrapText="0"/>
    </x:xf>
    <x:xf numFmtId="164" fontId="5" fillId="0" borderId="0" xfId="24" applyFont="1" applyBorder="1" applyAlignment="1">
      <x:alignment horizontal="center" vertical="center" wrapText="1"/>
    </x:xf>
    <x:xf numFmtId="164" fontId="5" fillId="0" borderId="0" xfId="24" applyFont="1" applyBorder="1" applyAlignment="1">
      <x:alignment horizontal="general" vertical="center" wrapText="1"/>
    </x:xf>
    <x:xf numFmtId="164" fontId="5" fillId="2" borderId="0" xfId="24" applyFont="1" applyBorder="1" applyAlignment="1">
      <x:alignment horizontal="general" vertical="bottom" wrapText="0"/>
    </x:xf>
    <x:xf numFmtId="164" fontId="5" fillId="3" borderId="0" xfId="24" applyFont="1" applyBorder="1" applyAlignment="1">
      <x:alignment horizontal="general" vertical="bottom" wrapText="0"/>
    </x:xf>
    <x:xf numFmtId="164" fontId="5" fillId="4" borderId="0" xfId="24" applyFont="1" applyBorder="1" applyAlignment="1">
      <x:alignment horizontal="general" vertical="bottom" wrapText="0"/>
    </x:xf>
    <x:xf numFmtId="164" fontId="5" fillId="5" borderId="0" xfId="24" applyFont="1" applyBorder="1" applyAlignment="1">
      <x:alignment horizontal="general" vertical="bottom" wrapText="0"/>
    </x:xf>
    <x:xf numFmtId="164" fontId="5" fillId="6" borderId="0" xfId="24" applyFont="1" applyBorder="1" applyAlignment="1">
      <x:alignment horizontal="general" vertical="bottom" wrapText="0"/>
    </x:xf>
    <x:xf numFmtId="164" fontId="5" fillId="7" borderId="0" xfId="24" applyFont="1" applyBorder="1" applyAlignment="1">
      <x:alignment horizontal="general" vertical="bottom" wrapText="0"/>
    </x:xf>
    <x:xf numFmtId="164" fontId="5" fillId="8" borderId="0" xfId="24" applyFont="1" applyBorder="1" applyAlignment="1">
      <x:alignment horizontal="general" vertical="bottom" wrapText="0"/>
    </x:xf>
    <x:xf numFmtId="164" fontId="5" fillId="9" borderId="0" xfId="24" applyFont="1" applyBorder="1" applyAlignment="1">
      <x:alignment horizontal="general" vertical="bottom" wrapText="0"/>
    </x:xf>
    <x:xf numFmtId="164" fontId="5" fillId="10" borderId="0" xfId="24" applyFont="1" applyBorder="1" applyAlignment="1">
      <x:alignment horizontal="general" vertical="bottom" wrapText="0"/>
    </x:xf>
    <x:xf numFmtId="164" fontId="5" fillId="11" borderId="0" xfId="24" applyFont="1" applyBorder="1" applyAlignment="1">
      <x:alignment horizontal="general" vertical="bottom" wrapText="0"/>
    </x:xf>
    <x:xf numFmtId="164" fontId="5" fillId="12" borderId="0" xfId="24" applyFont="1" applyBorder="1" applyAlignment="1">
      <x:alignment horizontal="general" vertical="bottom" wrapText="0"/>
    </x:xf>
    <x:xf numFmtId="164" fontId="5" fillId="13" borderId="0" xfId="24" applyFont="1" applyBorder="1" applyAlignment="1">
      <x:alignment horizontal="general" vertical="bottom" wrapText="0"/>
    </x:xf>
    <x:xf numFmtId="164" fontId="5" fillId="14" borderId="0" xfId="24" applyFont="1" applyBorder="1" applyAlignment="1">
      <x:alignment horizontal="general" vertical="bottom" wrapText="0"/>
    </x:xf>
  </x:cellXfs>
  <x:cellStyles count="12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Percent" xfId="25"/>
  </x:cellStyles>
  <x:colors>
    <x:indexedColors>
      <x:rgbColor rgb="FF000000"/>
      <x:rgbColor rgb="FFFCE4EC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E4DFEC"/>
      <x:rgbColor rgb="FF808080"/>
      <x:rgbColor rgb="FFD9EAD3"/>
      <x:rgbColor rgb="FF993366"/>
      <x:rgbColor rgb="FFFFF2CC"/>
      <x:rgbColor rgb="FFD9EAF7"/>
      <x:rgbColor rgb="FF660066"/>
      <x:rgbColor rgb="FFFF8080"/>
      <x:rgbColor rgb="FF0066CC"/>
      <x:rgbColor rgb="FFD0E0E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DEBF7"/>
      <x:rgbColor rgb="FFE2F0D9"/>
      <x:rgbColor rgb="FFF9EAD3"/>
      <x:rgbColor rgb="FFDCE6F1"/>
      <x:rgbColor rgb="FFFCE4D6"/>
      <x:rgbColor rgb="FFE7E6E6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b4d21111a4324" /><Relationship Type="http://schemas.openxmlformats.org/officeDocument/2006/relationships/theme" Target="/xl/theme/theme1.xml" Id="R17378552077a42af" /><Relationship Type="http://schemas.openxmlformats.org/officeDocument/2006/relationships/sharedStrings" Target="/xl/sharedStrings.xml" Id="Ra9b41998922b4257" /><Relationship Type="http://schemas.openxmlformats.org/officeDocument/2006/relationships/worksheet" Target="/xl/worksheets/sheet1.xml" Id="Rddc5dd7874f74dd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6328125" defaultRowHeight="15.75"/>
  <x:cols>
    <x:col min="1" max="1" width="26.1200008392334" style="1" hidden="0" customWidth="1"/>
    <x:col min="3" max="3" width="21.75" style="1" hidden="0" customWidth="1"/>
    <x:col min="4" max="4" width="18" style="1" hidden="0" customWidth="1"/>
    <x:col min="5" max="5" width="14" style="2" hidden="0" customWidth="1"/>
    <x:col min="11" max="11" width="62" style="1" hidden="0" customWidth="1"/>
    <x:col min="12" max="16" width="12" style="2" hidden="0" customWidth="1"/>
    <x:col min="17" max="17" width="24" style="2" hidden="0" customWidth="1"/>
    <x:col min="18" max="18" width="20" style="2" hidden="0" customWidth="1"/>
    <x:col min="19" max="19" width="30" style="2" hidden="0" customWidth="1"/>
    <x:col min="20" max="20" width="12" style="2" hidden="0" customWidth="1"/>
    <x:col min="21" max="22" width="22" style="2" hidden="0" customWidth="1"/>
    <x:col min="23" max="24" width="18" style="2" hidden="0" customWidth="1"/>
    <x:col min="25" max="25" width="24" style="2" hidden="0" customWidth="1"/>
    <x:col min="26" max="26" width="40" style="2" hidden="0" customWidth="1"/>
    <x:col min="27" max="27" width="34" style="2" hidden="0" customWidth="1"/>
  </x:cols>
  <x:sheetData>
    <x:row r="1" s="2" customFormat="1" ht="32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4" t="s">
        <x:v>25</x:v>
      </x:c>
      <x:c r="AA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</x:row>
    <x:row r="2" s="2" customFormat="1" ht="15.75" hidden="0" customHeight="1">
      <x:c r="A2" s="1" t="s">
        <x:v>26</x:v>
      </x:c>
      <x:c r="B2" s="1" t="s">
        <x:v>27</x:v>
      </x:c>
      <x:c r="C2" s="1" t="s">
        <x:v>28</x:v>
      </x:c>
      <x:c r="D2" s="1" t="s">
        <x:v>29</x:v>
      </x:c>
      <x:c r="E2" s="1" t="n">
        <x:v>4120</x:v>
      </x:c>
      <x:c r="F2" s="1"/>
      <x:c r="G2" s="1"/>
      <x:c r="H2" s="1"/>
      <x:c r="I2" s="1"/>
      <x:c r="J2" s="5" t="s">
        <x:v>30</x:v>
      </x:c>
      <x:c r="K2" s="1" t="s">
        <x:v>31</x:v>
      </x:c>
      <x:c r="L2" s="3" t="s">
        <x:v>32</x:v>
      </x:c>
      <x:c r="M2" s="3" t="s">
        <x:v>33</x:v>
      </x:c>
      <x:c r="N2" s="3" t="s">
        <x:v>34</x:v>
      </x:c>
      <x:c r="O2" s="3"/>
      <x:c r="P2" s="3" t="s">
        <x:v>35</x:v>
      </x:c>
      <x:c r="Q2" s="3" t="s">
        <x:v>36</x:v>
      </x:c>
      <x:c r="R2" s="3" t="s">
        <x:v>37</x:v>
      </x:c>
      <x:c r="S2" s="3" t="s">
        <x:v>38</x:v>
      </x:c>
      <x:c r="T2" s="3" t="s">
        <x:v>39</x:v>
      </x:c>
      <x:c r="U2" s="3" t="s">
        <x:v>40</x:v>
      </x:c>
      <x:c r="V2" s="3" t="s">
        <x:v>41</x:v>
      </x:c>
      <x:c r="W2" s="3" t="n">
        <x:v>100</x:v>
      </x:c>
      <x:c r="X2" s="3" t="n">
        <x:f aca="0">IF(ISNUMBER(W2),W2*3.412142,"")</x:f>
        <x:v>341.2142</x:v>
      </x:c>
      <x:c r="Y2" s="3" t="s">
        <x:v>42</x:v>
      </x:c>
      <x:c r="Z2" s="4"/>
      <x:c r="AA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</x:row>
    <x:row r="3" s="2" customFormat="1" ht="15.75" hidden="0" customHeight="1">
      <x:c r="A3" s="1" t="s">
        <x:v>26</x:v>
      </x:c>
      <x:c r="B3" s="1" t="s">
        <x:v>27</x:v>
      </x:c>
      <x:c r="C3" s="1" t="s">
        <x:v>43</x:v>
      </x:c>
      <x:c r="D3" s="1" t="s">
        <x:v>44</x:v>
      </x:c>
      <x:c r="E3" s="1" t="n">
        <x:v>2930</x:v>
      </x:c>
      <x:c r="F3" s="1"/>
      <x:c r="G3" s="1"/>
      <x:c r="H3" s="1"/>
      <x:c r="I3" s="1"/>
      <x:c r="J3" s="5" t="s">
        <x:v>30</x:v>
      </x:c>
      <x:c r="K3" s="1" t="s">
        <x:v>45</x:v>
      </x:c>
      <x:c r="L3" s="3" t="s">
        <x:v>46</x:v>
      </x:c>
      <x:c r="M3" s="3" t="s">
        <x:v>47</x:v>
      </x:c>
      <x:c r="N3" s="3" t="s">
        <x:v>48</x:v>
      </x:c>
      <x:c r="O3" s="3"/>
      <x:c r="P3" s="3" t="s">
        <x:v>49</x:v>
      </x:c>
      <x:c r="Q3" s="3" t="s">
        <x:v>36</x:v>
      </x:c>
      <x:c r="R3" s="3" t="s">
        <x:v>37</x:v>
      </x:c>
      <x:c r="S3" s="3" t="s">
        <x:v>38</x:v>
      </x:c>
      <x:c r="T3" s="3" t="s">
        <x:v>39</x:v>
      </x:c>
      <x:c r="U3" s="3" t="s">
        <x:v>40</x:v>
      </x:c>
      <x:c r="V3" s="3" t="s">
        <x:v>41</x:v>
      </x:c>
      <x:c r="W3" s="3" t="n">
        <x:v>100</x:v>
      </x:c>
      <x:c r="X3" s="3" t="n">
        <x:f aca="0">IF(ISNUMBER(W3),W3*3.412142,"")</x:f>
        <x:v>341.2142</x:v>
      </x:c>
      <x:c r="Y3" s="3" t="s">
        <x:v>42</x:v>
      </x:c>
      <x:c r="Z3" s="4"/>
      <x:c r="AA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</x:row>
    <x:row r="4" s="2" customFormat="1" ht="15.75" hidden="0" customHeight="1">
      <x:c r="A4" s="1" t="s">
        <x:v>50</x:v>
      </x:c>
      <x:c r="B4" s="1" t="s">
        <x:v>27</x:v>
      </x:c>
      <x:c r="C4" s="1" t="s">
        <x:v>51</x:v>
      </x:c>
      <x:c r="D4" s="1" t="s">
        <x:v>52</x:v>
      </x:c>
      <x:c r="E4" s="1" t="n">
        <x:v>5990</x:v>
      </x:c>
      <x:c r="F4" s="1"/>
      <x:c r="G4" s="1"/>
      <x:c r="H4" s="1"/>
      <x:c r="I4" s="1"/>
      <x:c r="J4" s="6" t="s">
        <x:v>53</x:v>
      </x:c>
      <x:c r="K4" s="1" t="s">
        <x:v>54</x:v>
      </x:c>
      <x:c r="L4" s="3" t="s">
        <x:v>55</x:v>
      </x:c>
      <x:c r="M4" s="3" t="s">
        <x:v>56</x:v>
      </x:c>
      <x:c r="N4" s="3" t="s">
        <x:v>57</x:v>
      </x:c>
      <x:c r="O4" s="3"/>
      <x:c r="P4" s="3" t="s">
        <x:v>58</x:v>
      </x:c>
      <x:c r="Q4" s="3" t="s">
        <x:v>36</x:v>
      </x:c>
      <x:c r="R4" s="3" t="s">
        <x:v>37</x:v>
      </x:c>
      <x:c r="S4" s="3" t="s">
        <x:v>38</x:v>
      </x:c>
      <x:c r="T4" s="3" t="s">
        <x:v>39</x:v>
      </x:c>
      <x:c r="U4" s="3" t="s">
        <x:v>40</x:v>
      </x:c>
      <x:c r="V4" s="3" t="s">
        <x:v>41</x:v>
      </x:c>
      <x:c r="W4" s="3" t="n">
        <x:v>100</x:v>
      </x:c>
      <x:c r="X4" s="3" t="n">
        <x:f aca="0">IF(ISNUMBER(W4),W4*3.412142,"")</x:f>
        <x:v>341.2142</x:v>
      </x:c>
      <x:c r="Y4" s="3" t="s">
        <x:v>42</x:v>
      </x:c>
      <x:c r="Z4" s="4"/>
      <x:c r="AA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</x:row>
    <x:row r="5" s="2" customFormat="1" ht="15.75" hidden="0" customHeight="1">
      <x:c r="A5" s="1" t="s">
        <x:v>50</x:v>
      </x:c>
      <x:c r="B5" s="1" t="s">
        <x:v>27</x:v>
      </x:c>
      <x:c r="C5" s="1" t="s">
        <x:v>59</x:v>
      </x:c>
      <x:c r="D5" s="1" t="s">
        <x:v>60</x:v>
      </x:c>
      <x:c r="E5" s="1" t="n">
        <x:v>12590</x:v>
      </x:c>
      <x:c r="F5" s="1"/>
      <x:c r="G5" s="1"/>
      <x:c r="H5" s="1"/>
      <x:c r="I5" s="1"/>
      <x:c r="J5" s="6" t="s">
        <x:v>53</x:v>
      </x:c>
      <x:c r="K5" s="1" t="s">
        <x:v>61</x:v>
      </x:c>
      <x:c r="L5" s="3" t="s">
        <x:v>62</x:v>
      </x:c>
      <x:c r="M5" s="3" t="s">
        <x:v>63</x:v>
      </x:c>
      <x:c r="N5" s="3" t="s">
        <x:v>64</x:v>
      </x:c>
      <x:c r="O5" s="3"/>
      <x:c r="P5" s="3" t="s">
        <x:v>65</x:v>
      </x:c>
      <x:c r="Q5" s="3" t="s">
        <x:v>66</x:v>
      </x:c>
      <x:c r="R5" s="3" t="s">
        <x:v>67</x:v>
      </x:c>
      <x:c r="S5" s="3" t="s">
        <x:v>68</x:v>
      </x:c>
      <x:c r="T5" s="3" t="s">
        <x:v>69</x:v>
      </x:c>
      <x:c r="U5" s="3" t="s">
        <x:v>40</x:v>
      </x:c>
      <x:c r="V5" s="3" t="s">
        <x:v>70</x:v>
      </x:c>
      <x:c r="W5" s="3" t="n">
        <x:v>250</x:v>
      </x:c>
      <x:c r="X5" s="3" t="n">
        <x:f aca="0">IF(ISNUMBER(W5),W5*3.412142,"")</x:f>
        <x:v>853.0355</x:v>
      </x:c>
      <x:c r="Y5" s="3" t="s">
        <x:v>42</x:v>
      </x:c>
      <x:c r="Z5" s="4"/>
      <x:c r="AA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</x:row>
    <x:row r="6" s="2" customFormat="1" ht="15.75" hidden="0" customHeight="1">
      <x:c r="A6" s="1" t="s">
        <x:v>50</x:v>
      </x:c>
      <x:c r="B6" s="1" t="s">
        <x:v>27</x:v>
      </x:c>
      <x:c r="C6" s="1" t="s">
        <x:v>71</x:v>
      </x:c>
      <x:c r="D6" s="1" t="s">
        <x:v>72</x:v>
      </x:c>
      <x:c r="E6" s="1" t="n">
        <x:v>14690</x:v>
      </x:c>
      <x:c r="F6" s="1"/>
      <x:c r="G6" s="1"/>
      <x:c r="H6" s="1"/>
      <x:c r="I6" s="1"/>
      <x:c r="J6" s="6" t="s">
        <x:v>53</x:v>
      </x:c>
      <x:c r="K6" s="1" t="s">
        <x:v>73</x:v>
      </x:c>
      <x:c r="L6" s="3" t="s">
        <x:v>62</x:v>
      </x:c>
      <x:c r="M6" s="3" t="s">
        <x:v>63</x:v>
      </x:c>
      <x:c r="N6" s="3" t="s">
        <x:v>64</x:v>
      </x:c>
      <x:c r="O6" s="3"/>
      <x:c r="P6" s="3" t="s">
        <x:v>65</x:v>
      </x:c>
      <x:c r="Q6" s="3" t="s">
        <x:v>66</x:v>
      </x:c>
      <x:c r="R6" s="3" t="s">
        <x:v>67</x:v>
      </x:c>
      <x:c r="S6" s="3" t="s">
        <x:v>68</x:v>
      </x:c>
      <x:c r="T6" s="3" t="s">
        <x:v>69</x:v>
      </x:c>
      <x:c r="U6" s="3" t="s">
        <x:v>40</x:v>
      </x:c>
      <x:c r="V6" s="3" t="s">
        <x:v>70</x:v>
      </x:c>
      <x:c r="W6" s="3" t="n">
        <x:v>250</x:v>
      </x:c>
      <x:c r="X6" s="3" t="n">
        <x:f aca="0">IF(ISNUMBER(W6),W6*3.412142,"")</x:f>
        <x:v>853.0355</x:v>
      </x:c>
      <x:c r="Y6" s="3" t="s">
        <x:v>42</x:v>
      </x:c>
      <x:c r="Z6" s="4"/>
      <x:c r="AA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</x:row>
    <x:row r="7" s="2" customFormat="1" ht="15.75" hidden="0" customHeight="1">
      <x:c r="A7" s="1" t="s">
        <x:v>50</x:v>
      </x:c>
      <x:c r="B7" s="1" t="s">
        <x:v>27</x:v>
      </x:c>
      <x:c r="C7" s="1" t="s">
        <x:v>74</x:v>
      </x:c>
      <x:c r="D7" s="1" t="s">
        <x:v>75</x:v>
      </x:c>
      <x:c r="E7" s="1" t="n">
        <x:v>16790</x:v>
      </x:c>
      <x:c r="F7" s="1"/>
      <x:c r="G7" s="1"/>
      <x:c r="H7" s="1"/>
      <x:c r="I7" s="1"/>
      <x:c r="J7" s="6" t="s">
        <x:v>53</x:v>
      </x:c>
      <x:c r="K7" s="1" t="s">
        <x:v>76</x:v>
      </x:c>
      <x:c r="L7" s="3" t="s">
        <x:v>62</x:v>
      </x:c>
      <x:c r="M7" s="3" t="s">
        <x:v>63</x:v>
      </x:c>
      <x:c r="N7" s="3" t="s">
        <x:v>64</x:v>
      </x:c>
      <x:c r="O7" s="3"/>
      <x:c r="P7" s="3" t="s">
        <x:v>65</x:v>
      </x:c>
      <x:c r="Q7" s="3" t="s">
        <x:v>66</x:v>
      </x:c>
      <x:c r="R7" s="3" t="s">
        <x:v>67</x:v>
      </x:c>
      <x:c r="S7" s="3" t="s">
        <x:v>68</x:v>
      </x:c>
      <x:c r="T7" s="3" t="s">
        <x:v>69</x:v>
      </x:c>
      <x:c r="U7" s="3" t="s">
        <x:v>40</x:v>
      </x:c>
      <x:c r="V7" s="3" t="s">
        <x:v>70</x:v>
      </x:c>
      <x:c r="W7" s="3" t="n">
        <x:v>250</x:v>
      </x:c>
      <x:c r="X7" s="3" t="n">
        <x:f aca="0">IF(ISNUMBER(W7),W7*3.412142,"")</x:f>
        <x:v>853.0355</x:v>
      </x:c>
      <x:c r="Y7" s="3" t="s">
        <x:v>42</x:v>
      </x:c>
      <x:c r="Z7" s="4"/>
      <x:c r="AA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</x:row>
    <x:row r="8" s="2" customFormat="1" ht="15.75" hidden="0" customHeight="1">
      <x:c r="A8" s="1" t="s">
        <x:v>50</x:v>
      </x:c>
      <x:c r="B8" s="1" t="s">
        <x:v>27</x:v>
      </x:c>
      <x:c r="C8" s="1" t="s">
        <x:v>77</x:v>
      </x:c>
      <x:c r="D8" s="1" t="s">
        <x:v>78</x:v>
      </x:c>
      <x:c r="E8" s="1" t="n">
        <x:v>23090</x:v>
      </x:c>
      <x:c r="F8" s="1"/>
      <x:c r="G8" s="1"/>
      <x:c r="H8" s="1"/>
      <x:c r="I8" s="1"/>
      <x:c r="J8" s="6" t="s">
        <x:v>53</x:v>
      </x:c>
      <x:c r="K8" s="1" t="s">
        <x:v>79</x:v>
      </x:c>
      <x:c r="L8" s="3" t="s">
        <x:v>62</x:v>
      </x:c>
      <x:c r="M8" s="3" t="s">
        <x:v>63</x:v>
      </x:c>
      <x:c r="N8" s="3" t="s">
        <x:v>64</x:v>
      </x:c>
      <x:c r="O8" s="3"/>
      <x:c r="P8" s="3" t="s">
        <x:v>65</x:v>
      </x:c>
      <x:c r="Q8" s="3" t="s">
        <x:v>66</x:v>
      </x:c>
      <x:c r="R8" s="3" t="s">
        <x:v>67</x:v>
      </x:c>
      <x:c r="S8" s="3" t="s">
        <x:v>68</x:v>
      </x:c>
      <x:c r="T8" s="3" t="s">
        <x:v>69</x:v>
      </x:c>
      <x:c r="U8" s="3" t="s">
        <x:v>40</x:v>
      </x:c>
      <x:c r="V8" s="3" t="s">
        <x:v>80</x:v>
      </x:c>
      <x:c r="W8" s="3" t="n">
        <x:v>400</x:v>
      </x:c>
      <x:c r="X8" s="3" t="n">
        <x:f aca="0">IF(ISNUMBER(W8),W8*3.412142,"")</x:f>
        <x:v>1364.8568</x:v>
      </x:c>
      <x:c r="Y8" s="3" t="s">
        <x:v>42</x:v>
      </x:c>
      <x:c r="Z8" s="4"/>
      <x:c r="AA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</x:row>
    <x:row r="9" s="2" customFormat="1" ht="15.75" hidden="0" customHeight="1">
      <x:c r="A9" s="1" t="s">
        <x:v>50</x:v>
      </x:c>
      <x:c r="B9" s="1" t="s">
        <x:v>27</x:v>
      </x:c>
      <x:c r="C9" s="1" t="s">
        <x:v>81</x:v>
      </x:c>
      <x:c r="D9" s="1" t="s">
        <x:v>82</x:v>
      </x:c>
      <x:c r="E9" s="1" t="n">
        <x:v>12160</x:v>
      </x:c>
      <x:c r="F9" s="1"/>
      <x:c r="G9" s="1"/>
      <x:c r="H9" s="1"/>
      <x:c r="I9" s="1"/>
      <x:c r="J9" s="6" t="s">
        <x:v>53</x:v>
      </x:c>
      <x:c r="K9" s="1" t="s">
        <x:v>83</x:v>
      </x:c>
      <x:c r="L9" s="3" t="s">
        <x:v>62</x:v>
      </x:c>
      <x:c r="M9" s="3" t="s">
        <x:v>63</x:v>
      </x:c>
      <x:c r="N9" s="3" t="s">
        <x:v>64</x:v>
      </x:c>
      <x:c r="O9" s="3"/>
      <x:c r="P9" s="3" t="s">
        <x:v>65</x:v>
      </x:c>
      <x:c r="Q9" s="3" t="s">
        <x:v>66</x:v>
      </x:c>
      <x:c r="R9" s="3" t="s">
        <x:v>67</x:v>
      </x:c>
      <x:c r="S9" s="3" t="s">
        <x:v>68</x:v>
      </x:c>
      <x:c r="T9" s="3" t="s">
        <x:v>69</x:v>
      </x:c>
      <x:c r="U9" s="3" t="s">
        <x:v>40</x:v>
      </x:c>
      <x:c r="V9" s="3" t="s">
        <x:v>70</x:v>
      </x:c>
      <x:c r="W9" s="3" t="n">
        <x:v>250</x:v>
      </x:c>
      <x:c r="X9" s="3" t="n">
        <x:f aca="0">IF(ISNUMBER(W9),W9*3.412142,"")</x:f>
        <x:v>853.0355</x:v>
      </x:c>
      <x:c r="Y9" s="3" t="s">
        <x:v>42</x:v>
      </x:c>
      <x:c r="Z9" s="4"/>
      <x:c r="AA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</x:row>
    <x:row r="10" s="2" customFormat="1" ht="15.75" hidden="0" customHeight="1">
      <x:c r="A10" s="1" t="s">
        <x:v>50</x:v>
      </x:c>
      <x:c r="B10" s="1" t="s">
        <x:v>27</x:v>
      </x:c>
      <x:c r="C10" s="1" t="s">
        <x:v>84</x:v>
      </x:c>
      <x:c r="D10" s="1" t="s">
        <x:v>85</x:v>
      </x:c>
      <x:c r="E10" s="1" t="n">
        <x:v>19450</x:v>
      </x:c>
      <x:c r="F10" s="1"/>
      <x:c r="G10" s="1"/>
      <x:c r="H10" s="1"/>
      <x:c r="I10" s="1"/>
      <x:c r="J10" s="6" t="s">
        <x:v>53</x:v>
      </x:c>
      <x:c r="K10" s="1" t="s">
        <x:v>86</x:v>
      </x:c>
      <x:c r="L10" s="3" t="s">
        <x:v>87</x:v>
      </x:c>
      <x:c r="M10" s="3" t="s">
        <x:v>63</x:v>
      </x:c>
      <x:c r="N10" s="3" t="s">
        <x:v>64</x:v>
      </x:c>
      <x:c r="O10" s="3"/>
      <x:c r="P10" s="3" t="s">
        <x:v>88</x:v>
      </x:c>
      <x:c r="Q10" s="3" t="s">
        <x:v>66</x:v>
      </x:c>
      <x:c r="R10" s="3" t="s">
        <x:v>67</x:v>
      </x:c>
      <x:c r="S10" s="3" t="s">
        <x:v>68</x:v>
      </x:c>
      <x:c r="T10" s="3" t="s">
        <x:v>89</x:v>
      </x:c>
      <x:c r="U10" s="3" t="s">
        <x:v>40</x:v>
      </x:c>
      <x:c r="V10" s="3" t="s">
        <x:v>80</x:v>
      </x:c>
      <x:c r="W10" s="3" t="n">
        <x:v>400</x:v>
      </x:c>
      <x:c r="X10" s="3" t="n">
        <x:f aca="0">IF(ISNUMBER(W10),W10*3.412142,"")</x:f>
        <x:v>1364.8568</x:v>
      </x:c>
      <x:c r="Y10" s="3" t="s">
        <x:v>42</x:v>
      </x:c>
      <x:c r="Z10" s="4"/>
      <x:c r="AA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</x:row>
    <x:row r="11" s="2" customFormat="1" ht="15.75" hidden="0" customHeight="1">
      <x:c r="A11" s="1" t="s">
        <x:v>50</x:v>
      </x:c>
      <x:c r="B11" s="1" t="s">
        <x:v>27</x:v>
      </x:c>
      <x:c r="C11" s="1" t="s">
        <x:v>90</x:v>
      </x:c>
      <x:c r="D11" s="1" t="s">
        <x:v>91</x:v>
      </x:c>
      <x:c r="E11" s="1" t="n">
        <x:v>16210</x:v>
      </x:c>
      <x:c r="F11" s="1"/>
      <x:c r="G11" s="1"/>
      <x:c r="H11" s="1"/>
      <x:c r="I11" s="1"/>
      <x:c r="J11" s="6" t="s">
        <x:v>53</x:v>
      </x:c>
      <x:c r="K11" s="1" t="s">
        <x:v>92</x:v>
      </x:c>
      <x:c r="L11" s="3" t="s">
        <x:v>87</x:v>
      </x:c>
      <x:c r="M11" s="3" t="s">
        <x:v>63</x:v>
      </x:c>
      <x:c r="N11" s="3" t="s">
        <x:v>93</x:v>
      </x:c>
      <x:c r="O11" s="3"/>
      <x:c r="P11" s="3" t="s">
        <x:v>94</x:v>
      </x:c>
      <x:c r="Q11" s="3" t="s">
        <x:v>66</x:v>
      </x:c>
      <x:c r="R11" s="3" t="s">
        <x:v>67</x:v>
      </x:c>
      <x:c r="S11" s="3" t="s">
        <x:v>68</x:v>
      </x:c>
      <x:c r="T11" s="3" t="s">
        <x:v>89</x:v>
      </x:c>
      <x:c r="U11" s="3" t="s">
        <x:v>40</x:v>
      </x:c>
      <x:c r="V11" s="3" t="s">
        <x:v>80</x:v>
      </x:c>
      <x:c r="W11" s="3" t="n">
        <x:v>400</x:v>
      </x:c>
      <x:c r="X11" s="3" t="n">
        <x:f aca="0">IF(ISNUMBER(W11),W11*3.412142,"")</x:f>
        <x:v>1364.8568</x:v>
      </x:c>
      <x:c r="Y11" s="3" t="s">
        <x:v>42</x:v>
      </x:c>
      <x:c r="Z11" s="4"/>
      <x:c r="AA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</x:row>
    <x:row r="12" s="2" customFormat="1" ht="15.75" hidden="0" customHeight="1">
      <x:c r="A12" s="1" t="s">
        <x:v>50</x:v>
      </x:c>
      <x:c r="B12" s="1" t="s">
        <x:v>27</x:v>
      </x:c>
      <x:c r="C12" s="1" t="s">
        <x:v>95</x:v>
      </x:c>
      <x:c r="D12" s="1" t="s">
        <x:v>96</x:v>
      </x:c>
      <x:c r="E12" s="1" t="n">
        <x:v>26670</x:v>
      </x:c>
      <x:c r="F12" s="1"/>
      <x:c r="G12" s="1"/>
      <x:c r="H12" s="1"/>
      <x:c r="I12" s="1"/>
      <x:c r="J12" s="6" t="s">
        <x:v>53</x:v>
      </x:c>
      <x:c r="K12" s="1" t="s">
        <x:v>97</x:v>
      </x:c>
      <x:c r="L12" s="3" t="s">
        <x:v>47</x:v>
      </x:c>
      <x:c r="M12" s="3" t="s">
        <x:v>63</x:v>
      </x:c>
      <x:c r="N12" s="3" t="s">
        <x:v>93</x:v>
      </x:c>
      <x:c r="O12" s="3"/>
      <x:c r="P12" s="3" t="s">
        <x:v>98</x:v>
      </x:c>
      <x:c r="Q12" s="3" t="s">
        <x:v>66</x:v>
      </x:c>
      <x:c r="R12" s="3" t="s">
        <x:v>67</x:v>
      </x:c>
      <x:c r="S12" s="3" t="s">
        <x:v>68</x:v>
      </x:c>
      <x:c r="T12" s="3" t="s">
        <x:v>99</x:v>
      </x:c>
      <x:c r="U12" s="3" t="s">
        <x:v>40</x:v>
      </x:c>
      <x:c r="V12" s="3" t="s">
        <x:v>100</x:v>
      </x:c>
      <x:c r="W12" s="3" t="n">
        <x:v>800</x:v>
      </x:c>
      <x:c r="X12" s="3" t="n">
        <x:f aca="0">IF(ISNUMBER(W12),W12*3.412142,"")</x:f>
        <x:v>2729.7136</x:v>
      </x:c>
      <x:c r="Y12" s="3" t="s">
        <x:v>42</x:v>
      </x:c>
      <x:c r="Z12" s="4"/>
      <x:c r="AA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</x:row>
    <x:row r="13" s="2" customFormat="1" ht="15.75" hidden="0" customHeight="1">
      <x:c r="A13" s="1" t="s">
        <x:v>50</x:v>
      </x:c>
      <x:c r="B13" s="1" t="s">
        <x:v>27</x:v>
      </x:c>
      <x:c r="C13" s="1" t="s">
        <x:v>101</x:v>
      </x:c>
      <x:c r="D13" s="1" t="s">
        <x:v>102</x:v>
      </x:c>
      <x:c r="E13" s="1" t="n">
        <x:v>48500</x:v>
      </x:c>
      <x:c r="F13" s="1"/>
      <x:c r="G13" s="1"/>
      <x:c r="H13" s="1"/>
      <x:c r="I13" s="1"/>
      <x:c r="J13" s="6" t="s">
        <x:v>53</x:v>
      </x:c>
      <x:c r="K13" s="1" t="s">
        <x:v>103</x:v>
      </x:c>
      <x:c r="L13" s="3" t="s">
        <x:v>104</x:v>
      </x:c>
      <x:c r="M13" s="3" t="s">
        <x:v>63</x:v>
      </x:c>
      <x:c r="N13" s="3" t="s">
        <x:v>93</x:v>
      </x:c>
      <x:c r="O13" s="3"/>
      <x:c r="P13" s="3" t="s">
        <x:v>105</x:v>
      </x:c>
      <x:c r="Q13" s="3" t="s">
        <x:v>66</x:v>
      </x:c>
      <x:c r="R13" s="3" t="s">
        <x:v>67</x:v>
      </x:c>
      <x:c r="S13" s="3" t="s">
        <x:v>68</x:v>
      </x:c>
      <x:c r="T13" s="3" t="s">
        <x:v>106</x:v>
      </x:c>
      <x:c r="U13" s="3" t="s">
        <x:v>40</x:v>
      </x:c>
      <x:c r="V13" s="3" t="s">
        <x:v>107</x:v>
      </x:c>
      <x:c r="W13" s="3" t="n">
        <x:v>1200</x:v>
      </x:c>
      <x:c r="X13" s="3" t="n">
        <x:f aca="0">IF(ISNUMBER(W13),W13*3.412142,"")</x:f>
        <x:v>4094.5703999999996</x:v>
      </x:c>
      <x:c r="Y13" s="3" t="s">
        <x:v>108</x:v>
      </x:c>
      <x:c r="Z13" s="4" t="s">
        <x:v>109</x:v>
      </x:c>
      <x:c r="AA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</x:row>
    <x:row r="14" s="2" customFormat="1" ht="15.75" hidden="0" customHeight="1">
      <x:c r="A14" s="1" t="s">
        <x:v>50</x:v>
      </x:c>
      <x:c r="B14" s="1" t="s">
        <x:v>27</x:v>
      </x:c>
      <x:c r="C14" s="1" t="s">
        <x:v>110</x:v>
      </x:c>
      <x:c r="D14" s="1" t="s">
        <x:v>111</x:v>
      </x:c>
      <x:c r="E14" s="1" t="n">
        <x:v>3640</x:v>
      </x:c>
      <x:c r="F14" s="1"/>
      <x:c r="G14" s="1"/>
      <x:c r="H14" s="1"/>
      <x:c r="I14" s="1"/>
      <x:c r="J14" s="6" t="s">
        <x:v>53</x:v>
      </x:c>
      <x:c r="K14" s="1" t="s">
        <x:v>112</x:v>
      </x:c>
      <x:c r="L14" s="3" t="s">
        <x:v>55</x:v>
      </x:c>
      <x:c r="M14" s="3" t="s">
        <x:v>56</x:v>
      </x:c>
      <x:c r="N14" s="3" t="s">
        <x:v>34</x:v>
      </x:c>
      <x:c r="O14" s="3"/>
      <x:c r="P14" s="3" t="s">
        <x:v>113</x:v>
      </x:c>
      <x:c r="Q14" s="3" t="s">
        <x:v>36</x:v>
      </x:c>
      <x:c r="R14" s="3" t="s">
        <x:v>37</x:v>
      </x:c>
      <x:c r="S14" s="3" t="s">
        <x:v>38</x:v>
      </x:c>
      <x:c r="T14" s="3" t="s">
        <x:v>39</x:v>
      </x:c>
      <x:c r="U14" s="3" t="s">
        <x:v>40</x:v>
      </x:c>
      <x:c r="V14" s="3" t="s">
        <x:v>41</x:v>
      </x:c>
      <x:c r="W14" s="3" t="n">
        <x:v>100</x:v>
      </x:c>
      <x:c r="X14" s="3" t="n">
        <x:f aca="0">IF(ISNUMBER(W14),W14*3.412142,"")</x:f>
        <x:v>341.2142</x:v>
      </x:c>
      <x:c r="Y14" s="3" t="s">
        <x:v>42</x:v>
      </x:c>
      <x:c r="Z14" s="4" t="s">
        <x:v>114</x:v>
      </x:c>
      <x:c r="AA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</x:row>
    <x:row r="15" s="2" customFormat="1" ht="15.75" hidden="0" customHeight="1">
      <x:c r="A15" s="1" t="s">
        <x:v>50</x:v>
      </x:c>
      <x:c r="B15" s="1" t="s">
        <x:v>27</x:v>
      </x:c>
      <x:c r="C15" s="1" t="s">
        <x:v>115</x:v>
      </x:c>
      <x:c r="D15" s="1" t="s">
        <x:v>116</x:v>
      </x:c>
      <x:c r="E15" s="1" t="n">
        <x:v>6670</x:v>
      </x:c>
      <x:c r="F15" s="1"/>
      <x:c r="G15" s="1"/>
      <x:c r="H15" s="1"/>
      <x:c r="I15" s="1"/>
      <x:c r="J15" s="6" t="s">
        <x:v>53</x:v>
      </x:c>
      <x:c r="K15" s="1" t="s">
        <x:v>117</x:v>
      </x:c>
      <x:c r="L15" s="3" t="s">
        <x:v>55</x:v>
      </x:c>
      <x:c r="M15" s="3" t="s">
        <x:v>63</x:v>
      </x:c>
      <x:c r="N15" s="3" t="s">
        <x:v>118</x:v>
      </x:c>
      <x:c r="O15" s="3"/>
      <x:c r="P15" s="3" t="s">
        <x:v>119</x:v>
      </x:c>
      <x:c r="Q15" s="3" t="s">
        <x:v>66</x:v>
      </x:c>
      <x:c r="R15" s="3" t="s">
        <x:v>67</x:v>
      </x:c>
      <x:c r="S15" s="3" t="s">
        <x:v>68</x:v>
      </x:c>
      <x:c r="T15" s="3" t="s">
        <x:v>39</x:v>
      </x:c>
      <x:c r="U15" s="3" t="s">
        <x:v>40</x:v>
      </x:c>
      <x:c r="V15" s="3" t="s">
        <x:v>70</x:v>
      </x:c>
      <x:c r="W15" s="3" t="n">
        <x:v>250</x:v>
      </x:c>
      <x:c r="X15" s="3" t="n">
        <x:f aca="0">IF(ISNUMBER(W15),W15*3.412142,"")</x:f>
        <x:v>853.0355</x:v>
      </x:c>
      <x:c r="Y15" s="3" t="s">
        <x:v>42</x:v>
      </x:c>
      <x:c r="Z15" s="4"/>
      <x:c r="AA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</x:row>
    <x:row r="16" s="2" customFormat="1" ht="15.75" hidden="0" customHeight="1">
      <x:c r="A16" s="1" t="s">
        <x:v>50</x:v>
      </x:c>
      <x:c r="B16" s="1" t="s">
        <x:v>27</x:v>
      </x:c>
      <x:c r="C16" s="1" t="s">
        <x:v>120</x:v>
      </x:c>
      <x:c r="D16" s="1" t="s">
        <x:v>121</x:v>
      </x:c>
      <x:c r="E16" s="1" t="n">
        <x:v>4600</x:v>
      </x:c>
      <x:c r="F16" s="1"/>
      <x:c r="G16" s="1"/>
      <x:c r="H16" s="1"/>
      <x:c r="I16" s="1"/>
      <x:c r="J16" s="6" t="s">
        <x:v>53</x:v>
      </x:c>
      <x:c r="K16" s="1" t="s">
        <x:v>122</x:v>
      </x:c>
      <x:c r="L16" s="3" t="s">
        <x:v>55</x:v>
      </x:c>
      <x:c r="M16" s="3" t="s">
        <x:v>56</x:v>
      </x:c>
      <x:c r="N16" s="3" t="s">
        <x:v>123</x:v>
      </x:c>
      <x:c r="O16" s="3"/>
      <x:c r="P16" s="3" t="s">
        <x:v>124</x:v>
      </x:c>
      <x:c r="Q16" s="3" t="s">
        <x:v>36</x:v>
      </x:c>
      <x:c r="R16" s="3" t="s">
        <x:v>37</x:v>
      </x:c>
      <x:c r="S16" s="3" t="s">
        <x:v>38</x:v>
      </x:c>
      <x:c r="T16" s="3" t="s">
        <x:v>39</x:v>
      </x:c>
      <x:c r="U16" s="3" t="s">
        <x:v>40</x:v>
      </x:c>
      <x:c r="V16" s="3" t="s">
        <x:v>41</x:v>
      </x:c>
      <x:c r="W16" s="3" t="n">
        <x:v>100</x:v>
      </x:c>
      <x:c r="X16" s="3" t="n">
        <x:f aca="0">IF(ISNUMBER(W16),W16*3.412142,"")</x:f>
        <x:v>341.2142</x:v>
      </x:c>
      <x:c r="Y16" s="3" t="s">
        <x:v>42</x:v>
      </x:c>
      <x:c r="Z16" s="4" t="s">
        <x:v>125</x:v>
      </x:c>
      <x:c r="AA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</x:row>
    <x:row r="17" s="2" customFormat="1" ht="15.75" hidden="0" customHeight="1">
      <x:c r="A17" s="1" t="s">
        <x:v>126</x:v>
      </x:c>
      <x:c r="B17" s="1" t="s">
        <x:v>27</x:v>
      </x:c>
      <x:c r="C17" s="1" t="s">
        <x:v>127</x:v>
      </x:c>
      <x:c r="D17" s="1" t="s">
        <x:v>128</x:v>
      </x:c>
      <x:c r="E17" s="1" t="n">
        <x:v>890</x:v>
      </x:c>
      <x:c r="F17" s="1"/>
      <x:c r="G17" s="1"/>
      <x:c r="H17" s="1"/>
      <x:c r="I17" s="1"/>
      <x:c r="J17" s="7" t="s">
        <x:v>129</x:v>
      </x:c>
      <x:c r="K17" s="1" t="s">
        <x:v>130</x:v>
      </x:c>
      <x:c r="L17" s="3" t="s">
        <x:v>46</x:v>
      </x:c>
      <x:c r="M17" s="3" t="s">
        <x:v>131</x:v>
      </x:c>
      <x:c r="N17" s="3" t="s">
        <x:v>48</x:v>
      </x:c>
      <x:c r="O17" s="3"/>
      <x:c r="P17" s="3" t="s">
        <x:v>132</x:v>
      </x:c>
      <x:c r="Q17" s="3" t="s">
        <x:v>36</x:v>
      </x:c>
      <x:c r="R17" s="3" t="s">
        <x:v>37</x:v>
      </x:c>
      <x:c r="S17" s="3" t="s">
        <x:v>38</x:v>
      </x:c>
      <x:c r="T17" s="3" t="s">
        <x:v>39</x:v>
      </x:c>
      <x:c r="U17" s="3" t="s">
        <x:v>133</x:v>
      </x:c>
      <x:c r="V17" s="3" t="s">
        <x:v>134</x:v>
      </x:c>
      <x:c r="W17" s="3" t="n">
        <x:v>12</x:v>
      </x:c>
      <x:c r="X17" s="3" t="n">
        <x:f aca="0">IF(ISNUMBER(W17),W17*3.412142,"")</x:f>
        <x:v>40.945704</x:v>
      </x:c>
      <x:c r="Y17" s="3" t="s">
        <x:v>135</x:v>
      </x:c>
      <x:c r="Z17" s="4"/>
      <x:c r="AA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</x:row>
    <x:row r="18" s="2" customFormat="1" ht="15.75" hidden="0" customHeight="1">
      <x:c r="A18" s="1" t="s">
        <x:v>136</x:v>
      </x:c>
      <x:c r="B18" s="1" t="s">
        <x:v>27</x:v>
      </x:c>
      <x:c r="C18" s="1" t="s">
        <x:v>137</x:v>
      </x:c>
      <x:c r="D18" s="1" t="s">
        <x:v>138</x:v>
      </x:c>
      <x:c r="E18" s="1" t="n">
        <x:v>1210</x:v>
      </x:c>
      <x:c r="F18" s="1"/>
      <x:c r="G18" s="1"/>
      <x:c r="H18" s="1"/>
      <x:c r="I18" s="1"/>
      <x:c r="J18" s="8" t="s">
        <x:v>139</x:v>
      </x:c>
      <x:c r="K18" s="1" t="s">
        <x:v>140</x:v>
      </x:c>
      <x:c r="L18" s="3" t="s">
        <x:v>46</x:v>
      </x:c>
      <x:c r="M18" s="3" t="s">
        <x:v>131</x:v>
      </x:c>
      <x:c r="N18" s="3" t="s">
        <x:v>48</x:v>
      </x:c>
      <x:c r="O18" s="3"/>
      <x:c r="P18" s="3" t="s">
        <x:v>132</x:v>
      </x:c>
      <x:c r="Q18" s="3" t="s">
        <x:v>36</x:v>
      </x:c>
      <x:c r="R18" s="3" t="s">
        <x:v>37</x:v>
      </x:c>
      <x:c r="S18" s="3" t="s">
        <x:v>38</x:v>
      </x:c>
      <x:c r="T18" s="3" t="s">
        <x:v>39</x:v>
      </x:c>
      <x:c r="U18" s="3" t="s">
        <x:v>133</x:v>
      </x:c>
      <x:c r="V18" s="3" t="s">
        <x:v>134</x:v>
      </x:c>
      <x:c r="W18" s="3" t="n">
        <x:v>12</x:v>
      </x:c>
      <x:c r="X18" s="3" t="n">
        <x:f aca="0">IF(ISNUMBER(W18),W18*3.412142,"")</x:f>
        <x:v>40.945704</x:v>
      </x:c>
      <x:c r="Y18" s="3" t="s">
        <x:v>141</x:v>
      </x:c>
      <x:c r="Z18" s="4" t="s">
        <x:v>142</x:v>
      </x:c>
      <x:c r="AA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</x:row>
    <x:row r="19" s="2" customFormat="1" ht="15.75" hidden="0" customHeight="1">
      <x:c r="A19" s="1" t="s">
        <x:v>143</x:v>
      </x:c>
      <x:c r="B19" s="1" t="s">
        <x:v>27</x:v>
      </x:c>
      <x:c r="C19" s="1" t="s">
        <x:v>144</x:v>
      </x:c>
      <x:c r="D19" s="1" t="s">
        <x:v>145</x:v>
      </x:c>
      <x:c r="E19" s="1" t="n">
        <x:v>1040</x:v>
      </x:c>
      <x:c r="F19" s="1"/>
      <x:c r="G19" s="1"/>
      <x:c r="H19" s="1"/>
      <x:c r="I19" s="1"/>
      <x:c r="J19" s="9" t="s">
        <x:v>146</x:v>
      </x:c>
      <x:c r="K19" s="1" t="s">
        <x:v>147</x:v>
      </x:c>
      <x:c r="L19" s="3" t="s">
        <x:v>46</x:v>
      </x:c>
      <x:c r="M19" s="3" t="s">
        <x:v>131</x:v>
      </x:c>
      <x:c r="N19" s="3" t="s">
        <x:v>48</x:v>
      </x:c>
      <x:c r="O19" s="3"/>
      <x:c r="P19" s="3" t="s">
        <x:v>132</x:v>
      </x:c>
      <x:c r="Q19" s="3" t="s">
        <x:v>36</x:v>
      </x:c>
      <x:c r="R19" s="3" t="s">
        <x:v>37</x:v>
      </x:c>
      <x:c r="S19" s="3" t="s">
        <x:v>38</x:v>
      </x:c>
      <x:c r="T19" s="3" t="s">
        <x:v>39</x:v>
      </x:c>
      <x:c r="U19" s="3" t="s">
        <x:v>133</x:v>
      </x:c>
      <x:c r="V19" s="3" t="s">
        <x:v>134</x:v>
      </x:c>
      <x:c r="W19" s="3" t="n">
        <x:v>12</x:v>
      </x:c>
      <x:c r="X19" s="3" t="n">
        <x:f aca="0">IF(ISNUMBER(W19),W19*3.412142,"")</x:f>
        <x:v>40.945704</x:v>
      </x:c>
      <x:c r="Y19" s="3" t="s">
        <x:v>141</x:v>
      </x:c>
      <x:c r="Z19" s="4" t="s">
        <x:v>148</x:v>
      </x:c>
      <x:c r="AA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</x:row>
    <x:row r="20" s="2" customFormat="1" ht="15.75" hidden="0" customHeight="1">
      <x:c r="A20" s="1" t="s">
        <x:v>143</x:v>
      </x:c>
      <x:c r="B20" s="1" t="s">
        <x:v>27</x:v>
      </x:c>
      <x:c r="C20" s="1" t="s">
        <x:v>149</x:v>
      </x:c>
      <x:c r="D20" s="1" t="s">
        <x:v>150</x:v>
      </x:c>
      <x:c r="E20" s="1" t="n">
        <x:v>1390</x:v>
      </x:c>
      <x:c r="F20" s="1"/>
      <x:c r="G20" s="1"/>
      <x:c r="H20" s="1"/>
      <x:c r="I20" s="1"/>
      <x:c r="J20" s="9" t="s">
        <x:v>146</x:v>
      </x:c>
      <x:c r="K20" s="1" t="s">
        <x:v>147</x:v>
      </x:c>
      <x:c r="L20" s="3" t="s">
        <x:v>151</x:v>
      </x:c>
      <x:c r="M20" s="3" t="s">
        <x:v>152</x:v>
      </x:c>
      <x:c r="N20" s="3" t="s">
        <x:v>153</x:v>
      </x:c>
      <x:c r="O20" s="3"/>
      <x:c r="P20" s="3" t="s">
        <x:v>154</x:v>
      </x:c>
      <x:c r="Q20" s="3" t="s">
        <x:v>155</x:v>
      </x:c>
      <x:c r="R20" s="3" t="s">
        <x:v>156</x:v>
      </x:c>
      <x:c r="S20" s="3" t="s">
        <x:v>157</x:v>
      </x:c>
      <x:c r="T20" s="3" t="s">
        <x:v>158</x:v>
      </x:c>
      <x:c r="U20" s="3" t="s">
        <x:v>133</x:v>
      </x:c>
      <x:c r="V20" s="3" t="s">
        <x:v>134</x:v>
      </x:c>
      <x:c r="W20" s="3" t="n">
        <x:v>12</x:v>
      </x:c>
      <x:c r="X20" s="3" t="n">
        <x:f aca="0">IF(ISNUMBER(W20),W20*3.412142,"")</x:f>
        <x:v>40.945704</x:v>
      </x:c>
      <x:c r="Y20" s="3" t="s">
        <x:v>141</x:v>
      </x:c>
      <x:c r="Z20" s="4" t="s">
        <x:v>159</x:v>
      </x:c>
      <x:c r="AA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</x:row>
    <x:row r="21" s="2" customFormat="1" ht="15.75" hidden="0" customHeight="1">
      <x:c r="A21" s="1" t="s">
        <x:v>136</x:v>
      </x:c>
      <x:c r="B21" s="1" t="s">
        <x:v>27</x:v>
      </x:c>
      <x:c r="C21" s="1" t="s">
        <x:v>160</x:v>
      </x:c>
      <x:c r="D21" s="1" t="s">
        <x:v>161</x:v>
      </x:c>
      <x:c r="E21" s="1" t="n">
        <x:v>1780</x:v>
      </x:c>
      <x:c r="F21" s="1"/>
      <x:c r="G21" s="1"/>
      <x:c r="H21" s="1"/>
      <x:c r="I21" s="1"/>
      <x:c r="J21" s="8" t="s">
        <x:v>139</x:v>
      </x:c>
      <x:c r="K21" s="1" t="s">
        <x:v>162</x:v>
      </x:c>
      <x:c r="L21" s="3" t="s">
        <x:v>46</x:v>
      </x:c>
      <x:c r="M21" s="3" t="s">
        <x:v>131</x:v>
      </x:c>
      <x:c r="N21" s="3" t="s">
        <x:v>48</x:v>
      </x:c>
      <x:c r="O21" s="3"/>
      <x:c r="P21" s="3" t="s">
        <x:v>132</x:v>
      </x:c>
      <x:c r="Q21" s="3" t="s">
        <x:v>36</x:v>
      </x:c>
      <x:c r="R21" s="3" t="s">
        <x:v>37</x:v>
      </x:c>
      <x:c r="S21" s="3" t="s">
        <x:v>38</x:v>
      </x:c>
      <x:c r="T21" s="3" t="s">
        <x:v>39</x:v>
      </x:c>
      <x:c r="U21" s="3" t="s">
        <x:v>133</x:v>
      </x:c>
      <x:c r="V21" s="3" t="s">
        <x:v>134</x:v>
      </x:c>
      <x:c r="W21" s="3" t="n">
        <x:v>12</x:v>
      </x:c>
      <x:c r="X21" s="3" t="n">
        <x:f aca="0">IF(ISNUMBER(W21),W21*3.412142,"")</x:f>
        <x:v>40.945704</x:v>
      </x:c>
      <x:c r="Y21" s="3" t="s">
        <x:v>141</x:v>
      </x:c>
      <x:c r="Z21" s="4"/>
      <x:c r="AA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</x:row>
    <x:row r="22" s="2" customFormat="1" ht="15.75" hidden="0" customHeight="1">
      <x:c r="A22" s="1" t="s">
        <x:v>143</x:v>
      </x:c>
      <x:c r="B22" s="1" t="s">
        <x:v>27</x:v>
      </x:c>
      <x:c r="C22" s="1" t="s">
        <x:v>163</x:v>
      </x:c>
      <x:c r="D22" s="1" t="s">
        <x:v>164</x:v>
      </x:c>
      <x:c r="E22" s="1" t="n">
        <x:v>1880</x:v>
      </x:c>
      <x:c r="F22" s="1"/>
      <x:c r="G22" s="1"/>
      <x:c r="H22" s="1"/>
      <x:c r="I22" s="1"/>
      <x:c r="J22" s="9" t="s">
        <x:v>146</x:v>
      </x:c>
      <x:c r="K22" s="1" t="s">
        <x:v>165</x:v>
      </x:c>
      <x:c r="L22" s="3" t="s">
        <x:v>46</x:v>
      </x:c>
      <x:c r="M22" s="3" t="s">
        <x:v>131</x:v>
      </x:c>
      <x:c r="N22" s="3" t="s">
        <x:v>48</x:v>
      </x:c>
      <x:c r="O22" s="3"/>
      <x:c r="P22" s="3" t="s">
        <x:v>132</x:v>
      </x:c>
      <x:c r="Q22" s="3" t="s">
        <x:v>36</x:v>
      </x:c>
      <x:c r="R22" s="3" t="s">
        <x:v>37</x:v>
      </x:c>
      <x:c r="S22" s="3" t="s">
        <x:v>38</x:v>
      </x:c>
      <x:c r="T22" s="3" t="s">
        <x:v>39</x:v>
      </x:c>
      <x:c r="U22" s="3" t="s">
        <x:v>133</x:v>
      </x:c>
      <x:c r="V22" s="3" t="s">
        <x:v>134</x:v>
      </x:c>
      <x:c r="W22" s="3" t="n">
        <x:v>12</x:v>
      </x:c>
      <x:c r="X22" s="3" t="n">
        <x:f aca="0">IF(ISNUMBER(W22),W22*3.412142,"")</x:f>
        <x:v>40.945704</x:v>
      </x:c>
      <x:c r="Y22" s="3" t="s">
        <x:v>141</x:v>
      </x:c>
      <x:c r="Z22" s="4"/>
      <x:c r="AA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</x:row>
    <x:row r="23" s="2" customFormat="1" ht="15.75" hidden="0" customHeight="1">
      <x:c r="A23" s="1" t="s">
        <x:v>136</x:v>
      </x:c>
      <x:c r="B23" s="1" t="s">
        <x:v>27</x:v>
      </x:c>
      <x:c r="C23" s="1" t="s">
        <x:v>166</x:v>
      </x:c>
      <x:c r="D23" s="1" t="s">
        <x:v>167</x:v>
      </x:c>
      <x:c r="E23" s="1" t="n">
        <x:v>1780</x:v>
      </x:c>
      <x:c r="F23" s="1"/>
      <x:c r="G23" s="1"/>
      <x:c r="H23" s="1"/>
      <x:c r="I23" s="1"/>
      <x:c r="J23" s="8" t="s">
        <x:v>139</x:v>
      </x:c>
      <x:c r="K23" s="1" t="s">
        <x:v>168</x:v>
      </x:c>
      <x:c r="L23" s="3" t="s">
        <x:v>46</x:v>
      </x:c>
      <x:c r="M23" s="3" t="s">
        <x:v>131</x:v>
      </x:c>
      <x:c r="N23" s="3" t="s">
        <x:v>48</x:v>
      </x:c>
      <x:c r="O23" s="3"/>
      <x:c r="P23" s="3" t="s">
        <x:v>132</x:v>
      </x:c>
      <x:c r="Q23" s="3" t="s">
        <x:v>36</x:v>
      </x:c>
      <x:c r="R23" s="3" t="s">
        <x:v>37</x:v>
      </x:c>
      <x:c r="S23" s="3" t="s">
        <x:v>38</x:v>
      </x:c>
      <x:c r="T23" s="3" t="s">
        <x:v>39</x:v>
      </x:c>
      <x:c r="U23" s="3" t="s">
        <x:v>133</x:v>
      </x:c>
      <x:c r="V23" s="3" t="s">
        <x:v>134</x:v>
      </x:c>
      <x:c r="W23" s="3" t="n">
        <x:v>12</x:v>
      </x:c>
      <x:c r="X23" s="3" t="n">
        <x:f aca="0">IF(ISNUMBER(W23),W23*3.412142,"")</x:f>
        <x:v>40.945704</x:v>
      </x:c>
      <x:c r="Y23" s="3" t="s">
        <x:v>141</x:v>
      </x:c>
      <x:c r="Z23" s="4"/>
      <x:c r="AA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</x:row>
    <x:row r="24" s="2" customFormat="1" ht="15.75" hidden="0" customHeight="1">
      <x:c r="A24" s="1" t="s">
        <x:v>143</x:v>
      </x:c>
      <x:c r="B24" s="1" t="s">
        <x:v>27</x:v>
      </x:c>
      <x:c r="C24" s="1" t="s">
        <x:v>169</x:v>
      </x:c>
      <x:c r="D24" s="1" t="s">
        <x:v>170</x:v>
      </x:c>
      <x:c r="E24" s="1" t="n">
        <x:v>1880</x:v>
      </x:c>
      <x:c r="F24" s="1"/>
      <x:c r="G24" s="1"/>
      <x:c r="H24" s="1"/>
      <x:c r="I24" s="1"/>
      <x:c r="J24" s="9" t="s">
        <x:v>146</x:v>
      </x:c>
      <x:c r="K24" s="1" t="s">
        <x:v>171</x:v>
      </x:c>
      <x:c r="L24" s="3" t="s">
        <x:v>46</x:v>
      </x:c>
      <x:c r="M24" s="3" t="s">
        <x:v>131</x:v>
      </x:c>
      <x:c r="N24" s="3" t="s">
        <x:v>48</x:v>
      </x:c>
      <x:c r="O24" s="3"/>
      <x:c r="P24" s="3" t="s">
        <x:v>132</x:v>
      </x:c>
      <x:c r="Q24" s="3" t="s">
        <x:v>36</x:v>
      </x:c>
      <x:c r="R24" s="3" t="s">
        <x:v>37</x:v>
      </x:c>
      <x:c r="S24" s="3" t="s">
        <x:v>38</x:v>
      </x:c>
      <x:c r="T24" s="3" t="s">
        <x:v>39</x:v>
      </x:c>
      <x:c r="U24" s="3" t="s">
        <x:v>133</x:v>
      </x:c>
      <x:c r="V24" s="3" t="s">
        <x:v>134</x:v>
      </x:c>
      <x:c r="W24" s="3" t="n">
        <x:v>12</x:v>
      </x:c>
      <x:c r="X24" s="3" t="n">
        <x:f aca="0">IF(ISNUMBER(W24),W24*3.412142,"")</x:f>
        <x:v>40.945704</x:v>
      </x:c>
      <x:c r="Y24" s="3" t="s">
        <x:v>141</x:v>
      </x:c>
      <x:c r="Z24" s="4"/>
      <x:c r="AA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</x:row>
    <x:row r="25" s="2" customFormat="1" ht="15.75" hidden="0" customHeight="1">
      <x:c r="A25" s="1" t="s">
        <x:v>136</x:v>
      </x:c>
      <x:c r="B25" s="1" t="s">
        <x:v>27</x:v>
      </x:c>
      <x:c r="C25" s="1" t="s">
        <x:v>172</x:v>
      </x:c>
      <x:c r="D25" s="1" t="s">
        <x:v>173</x:v>
      </x:c>
      <x:c r="E25" s="1" t="n">
        <x:v>1470</x:v>
      </x:c>
      <x:c r="F25" s="1"/>
      <x:c r="G25" s="1"/>
      <x:c r="H25" s="1"/>
      <x:c r="I25" s="1"/>
      <x:c r="J25" s="8" t="s">
        <x:v>139</x:v>
      </x:c>
      <x:c r="K25" s="1" t="s">
        <x:v>174</x:v>
      </x:c>
      <x:c r="L25" s="3" t="s">
        <x:v>46</x:v>
      </x:c>
      <x:c r="M25" s="3" t="s">
        <x:v>131</x:v>
      </x:c>
      <x:c r="N25" s="3" t="s">
        <x:v>48</x:v>
      </x:c>
      <x:c r="O25" s="3"/>
      <x:c r="P25" s="3" t="s">
        <x:v>132</x:v>
      </x:c>
      <x:c r="Q25" s="3" t="s">
        <x:v>36</x:v>
      </x:c>
      <x:c r="R25" s="3" t="s">
        <x:v>37</x:v>
      </x:c>
      <x:c r="S25" s="3" t="s">
        <x:v>38</x:v>
      </x:c>
      <x:c r="T25" s="3" t="s">
        <x:v>39</x:v>
      </x:c>
      <x:c r="U25" s="3" t="s">
        <x:v>133</x:v>
      </x:c>
      <x:c r="V25" s="3" t="s">
        <x:v>134</x:v>
      </x:c>
      <x:c r="W25" s="3" t="n">
        <x:v>12</x:v>
      </x:c>
      <x:c r="X25" s="3" t="n">
        <x:f aca="0">IF(ISNUMBER(W25),W25*3.412142,"")</x:f>
        <x:v>40.945704</x:v>
      </x:c>
      <x:c r="Y25" s="3" t="s">
        <x:v>141</x:v>
      </x:c>
      <x:c r="Z25" s="4"/>
      <x:c r="AA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</x:row>
    <x:row r="26" s="2" customFormat="1" ht="15.75" hidden="0" customHeight="1">
      <x:c r="A26" s="1" t="s">
        <x:v>175</x:v>
      </x:c>
      <x:c r="B26" s="1" t="s">
        <x:v>27</x:v>
      </x:c>
      <x:c r="C26" s="1" t="s">
        <x:v>176</x:v>
      </x:c>
      <x:c r="D26" s="1" t="s">
        <x:v>177</x:v>
      </x:c>
      <x:c r="E26" s="1" t="n">
        <x:v>2550</x:v>
      </x:c>
      <x:c r="F26" s="1"/>
      <x:c r="G26" s="1"/>
      <x:c r="H26" s="1"/>
      <x:c r="I26" s="1"/>
      <x:c r="J26" s="10" t="s">
        <x:v>178</x:v>
      </x:c>
      <x:c r="K26" s="1" t="s">
        <x:v>179</x:v>
      </x:c>
      <x:c r="L26" s="3" t="s">
        <x:v>46</x:v>
      </x:c>
      <x:c r="M26" s="3" t="s">
        <x:v>131</x:v>
      </x:c>
      <x:c r="N26" s="3" t="s">
        <x:v>48</x:v>
      </x:c>
      <x:c r="O26" s="3"/>
      <x:c r="P26" s="3" t="s">
        <x:v>132</x:v>
      </x:c>
      <x:c r="Q26" s="3" t="s">
        <x:v>36</x:v>
      </x:c>
      <x:c r="R26" s="3" t="s">
        <x:v>37</x:v>
      </x:c>
      <x:c r="S26" s="3" t="s">
        <x:v>38</x:v>
      </x:c>
      <x:c r="T26" s="3" t="s">
        <x:v>39</x:v>
      </x:c>
      <x:c r="U26" s="3" t="s">
        <x:v>180</x:v>
      </x:c>
      <x:c r="V26" s="3" t="s">
        <x:v>181</x:v>
      </x:c>
      <x:c r="W26" s="3" t="n">
        <x:v>25.5</x:v>
      </x:c>
      <x:c r="X26" s="3" t="n">
        <x:f aca="0">IF(ISNUMBER(W26),W26*3.412142,"")</x:f>
        <x:v>87.009621</x:v>
      </x:c>
      <x:c r="Y26" s="3" t="s">
        <x:v>182</x:v>
      </x:c>
      <x:c r="Z26" s="4"/>
      <x:c r="AA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</x:row>
    <x:row r="27" s="2" customFormat="1" ht="15.75" hidden="0" customHeight="1">
      <x:c r="A27" s="1" t="s">
        <x:v>175</x:v>
      </x:c>
      <x:c r="B27" s="1" t="s">
        <x:v>27</x:v>
      </x:c>
      <x:c r="C27" s="1" t="s">
        <x:v>183</x:v>
      </x:c>
      <x:c r="D27" s="1" t="s">
        <x:v>184</x:v>
      </x:c>
      <x:c r="E27" s="1" t="n">
        <x:v>1460</x:v>
      </x:c>
      <x:c r="F27" s="1"/>
      <x:c r="G27" s="1"/>
      <x:c r="H27" s="1"/>
      <x:c r="I27" s="1"/>
      <x:c r="J27" s="10" t="s">
        <x:v>178</x:v>
      </x:c>
      <x:c r="K27" s="1" t="s">
        <x:v>179</x:v>
      </x:c>
      <x:c r="L27" s="3" t="s">
        <x:v>46</x:v>
      </x:c>
      <x:c r="M27" s="3" t="s">
        <x:v>131</x:v>
      </x:c>
      <x:c r="N27" s="3" t="s">
        <x:v>48</x:v>
      </x:c>
      <x:c r="O27" s="3"/>
      <x:c r="P27" s="3" t="s">
        <x:v>132</x:v>
      </x:c>
      <x:c r="Q27" s="3" t="s">
        <x:v>36</x:v>
      </x:c>
      <x:c r="R27" s="3" t="s">
        <x:v>37</x:v>
      </x:c>
      <x:c r="S27" s="3" t="s">
        <x:v>38</x:v>
      </x:c>
      <x:c r="T27" s="3" t="s">
        <x:v>39</x:v>
      </x:c>
      <x:c r="U27" s="3" t="s">
        <x:v>180</x:v>
      </x:c>
      <x:c r="V27" s="3" t="s">
        <x:v>181</x:v>
      </x:c>
      <x:c r="W27" s="3" t="n">
        <x:v>25.5</x:v>
      </x:c>
      <x:c r="X27" s="3" t="n">
        <x:f aca="0">IF(ISNUMBER(W27),W27*3.412142,"")</x:f>
        <x:v>87.009621</x:v>
      </x:c>
      <x:c r="Y27" s="3" t="s">
        <x:v>182</x:v>
      </x:c>
      <x:c r="Z27" s="4"/>
      <x:c r="AA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</x:row>
    <x:row r="28" s="2" customFormat="1" ht="15.75" hidden="0" customHeight="1">
      <x:c r="A28" s="1" t="s">
        <x:v>175</x:v>
      </x:c>
      <x:c r="B28" s="1" t="s">
        <x:v>27</x:v>
      </x:c>
      <x:c r="C28" s="1" t="s">
        <x:v>185</x:v>
      </x:c>
      <x:c r="D28" s="1" t="s">
        <x:v>186</x:v>
      </x:c>
      <x:c r="E28" s="1" t="n">
        <x:v>2390</x:v>
      </x:c>
      <x:c r="F28" s="1"/>
      <x:c r="G28" s="1"/>
      <x:c r="H28" s="1"/>
      <x:c r="I28" s="1"/>
      <x:c r="J28" s="10" t="s">
        <x:v>178</x:v>
      </x:c>
      <x:c r="K28" s="1" t="s">
        <x:v>187</x:v>
      </x:c>
      <x:c r="L28" s="3" t="s">
        <x:v>46</x:v>
      </x:c>
      <x:c r="M28" s="3" t="s">
        <x:v>131</x:v>
      </x:c>
      <x:c r="N28" s="3" t="s">
        <x:v>48</x:v>
      </x:c>
      <x:c r="O28" s="3"/>
      <x:c r="P28" s="3" t="s">
        <x:v>132</x:v>
      </x:c>
      <x:c r="Q28" s="3" t="s">
        <x:v>36</x:v>
      </x:c>
      <x:c r="R28" s="3" t="s">
        <x:v>37</x:v>
      </x:c>
      <x:c r="S28" s="3" t="s">
        <x:v>38</x:v>
      </x:c>
      <x:c r="T28" s="3" t="s">
        <x:v>39</x:v>
      </x:c>
      <x:c r="U28" s="3" t="s">
        <x:v>180</x:v>
      </x:c>
      <x:c r="V28" s="3" t="s">
        <x:v>181</x:v>
      </x:c>
      <x:c r="W28" s="3" t="n">
        <x:v>25.5</x:v>
      </x:c>
      <x:c r="X28" s="3" t="n">
        <x:f aca="0">IF(ISNUMBER(W28),W28*3.412142,"")</x:f>
        <x:v>87.009621</x:v>
      </x:c>
      <x:c r="Y28" s="3" t="s">
        <x:v>182</x:v>
      </x:c>
      <x:c r="Z28" s="4"/>
      <x:c r="AA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</x:row>
    <x:row r="29" s="2" customFormat="1" ht="15.75" hidden="0" customHeight="1">
      <x:c r="A29" s="1" t="s">
        <x:v>175</x:v>
      </x:c>
      <x:c r="B29" s="1" t="s">
        <x:v>27</x:v>
      </x:c>
      <x:c r="C29" s="1" t="s">
        <x:v>188</x:v>
      </x:c>
      <x:c r="D29" s="1" t="s">
        <x:v>189</x:v>
      </x:c>
      <x:c r="E29" s="1" t="n">
        <x:v>3560</x:v>
      </x:c>
      <x:c r="F29" s="1"/>
      <x:c r="G29" s="1"/>
      <x:c r="H29" s="1"/>
      <x:c r="I29" s="1"/>
      <x:c r="J29" s="10" t="s">
        <x:v>178</x:v>
      </x:c>
      <x:c r="K29" s="1" t="s">
        <x:v>190</x:v>
      </x:c>
      <x:c r="L29" s="3" t="s">
        <x:v>151</x:v>
      </x:c>
      <x:c r="M29" s="3" t="s">
        <x:v>152</x:v>
      </x:c>
      <x:c r="N29" s="3" t="s">
        <x:v>153</x:v>
      </x:c>
      <x:c r="O29" s="3"/>
      <x:c r="P29" s="3" t="s">
        <x:v>154</x:v>
      </x:c>
      <x:c r="Q29" s="3" t="s">
        <x:v>155</x:v>
      </x:c>
      <x:c r="R29" s="3" t="s">
        <x:v>156</x:v>
      </x:c>
      <x:c r="S29" s="3" t="s">
        <x:v>157</x:v>
      </x:c>
      <x:c r="T29" s="3" t="s">
        <x:v>158</x:v>
      </x:c>
      <x:c r="U29" s="3" t="s">
        <x:v>180</x:v>
      </x:c>
      <x:c r="V29" s="3" t="s">
        <x:v>181</x:v>
      </x:c>
      <x:c r="W29" s="3" t="n">
        <x:v>25.5</x:v>
      </x:c>
      <x:c r="X29" s="3" t="n">
        <x:f aca="0">IF(ISNUMBER(W29),W29*3.412142,"")</x:f>
        <x:v>87.009621</x:v>
      </x:c>
      <x:c r="Y29" s="3" t="s">
        <x:v>182</x:v>
      </x:c>
      <x:c r="Z29" s="4"/>
      <x:c r="AA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</x:row>
    <x:row r="30" s="2" customFormat="1" ht="15.75" hidden="0" customHeight="1">
      <x:c r="A30" s="1" t="s">
        <x:v>175</x:v>
      </x:c>
      <x:c r="B30" s="1" t="s">
        <x:v>27</x:v>
      </x:c>
      <x:c r="C30" s="1" t="s">
        <x:v>191</x:v>
      </x:c>
      <x:c r="D30" s="1" t="s">
        <x:v>192</x:v>
      </x:c>
      <x:c r="E30" s="1" t="n">
        <x:v>3150</x:v>
      </x:c>
      <x:c r="F30" s="1"/>
      <x:c r="G30" s="1"/>
      <x:c r="H30" s="1"/>
      <x:c r="I30" s="1"/>
      <x:c r="J30" s="10" t="s">
        <x:v>178</x:v>
      </x:c>
      <x:c r="K30" s="1" t="s">
        <x:v>193</x:v>
      </x:c>
      <x:c r="L30" s="3" t="s">
        <x:v>46</x:v>
      </x:c>
      <x:c r="M30" s="3" t="s">
        <x:v>131</x:v>
      </x:c>
      <x:c r="N30" s="3" t="s">
        <x:v>48</x:v>
      </x:c>
      <x:c r="O30" s="3"/>
      <x:c r="P30" s="3" t="s">
        <x:v>132</x:v>
      </x:c>
      <x:c r="Q30" s="3" t="s">
        <x:v>36</x:v>
      </x:c>
      <x:c r="R30" s="3" t="s">
        <x:v>37</x:v>
      </x:c>
      <x:c r="S30" s="3" t="s">
        <x:v>38</x:v>
      </x:c>
      <x:c r="T30" s="3" t="s">
        <x:v>39</x:v>
      </x:c>
      <x:c r="U30" s="3" t="s">
        <x:v>180</x:v>
      </x:c>
      <x:c r="V30" s="3" t="s">
        <x:v>181</x:v>
      </x:c>
      <x:c r="W30" s="3" t="n">
        <x:v>25.5</x:v>
      </x:c>
      <x:c r="X30" s="3" t="n">
        <x:f aca="0">IF(ISNUMBER(W30),W30*3.412142,"")</x:f>
        <x:v>87.009621</x:v>
      </x:c>
      <x:c r="Y30" s="3" t="s">
        <x:v>182</x:v>
      </x:c>
      <x:c r="Z30" s="4" t="s">
        <x:v>194</x:v>
      </x:c>
      <x:c r="AA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</x:row>
    <x:row r="31" s="2" customFormat="1" ht="15.75" hidden="0" customHeight="1">
      <x:c r="A31" s="1" t="s">
        <x:v>175</x:v>
      </x:c>
      <x:c r="B31" s="1" t="s">
        <x:v>27</x:v>
      </x:c>
      <x:c r="C31" s="1" t="s">
        <x:v>195</x:v>
      </x:c>
      <x:c r="D31" s="1" t="s">
        <x:v>196</x:v>
      </x:c>
      <x:c r="E31" s="1" t="n">
        <x:v>2620</x:v>
      </x:c>
      <x:c r="F31" s="1"/>
      <x:c r="G31" s="1"/>
      <x:c r="H31" s="1"/>
      <x:c r="I31" s="1"/>
      <x:c r="J31" s="10" t="s">
        <x:v>178</x:v>
      </x:c>
      <x:c r="K31" s="1" t="s">
        <x:v>197</x:v>
      </x:c>
      <x:c r="L31" s="3" t="s">
        <x:v>46</x:v>
      </x:c>
      <x:c r="M31" s="3" t="s">
        <x:v>131</x:v>
      </x:c>
      <x:c r="N31" s="3" t="s">
        <x:v>48</x:v>
      </x:c>
      <x:c r="O31" s="3"/>
      <x:c r="P31" s="3" t="s">
        <x:v>132</x:v>
      </x:c>
      <x:c r="Q31" s="3" t="s">
        <x:v>36</x:v>
      </x:c>
      <x:c r="R31" s="3" t="s">
        <x:v>37</x:v>
      </x:c>
      <x:c r="S31" s="3" t="s">
        <x:v>38</x:v>
      </x:c>
      <x:c r="T31" s="3" t="s">
        <x:v>39</x:v>
      </x:c>
      <x:c r="U31" s="3" t="s">
        <x:v>180</x:v>
      </x:c>
      <x:c r="V31" s="3" t="s">
        <x:v>181</x:v>
      </x:c>
      <x:c r="W31" s="3" t="n">
        <x:v>25.5</x:v>
      </x:c>
      <x:c r="X31" s="3" t="n">
        <x:f aca="0">IF(ISNUMBER(W31),W31*3.412142,"")</x:f>
        <x:v>87.009621</x:v>
      </x:c>
      <x:c r="Y31" s="3" t="s">
        <x:v>182</x:v>
      </x:c>
      <x:c r="Z31" s="4"/>
      <x:c r="AA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</x:row>
    <x:row r="32" s="2" customFormat="1" ht="15.75" hidden="0" customHeight="1">
      <x:c r="A32" s="1" t="s">
        <x:v>175</x:v>
      </x:c>
      <x:c r="B32" s="1" t="s">
        <x:v>27</x:v>
      </x:c>
      <x:c r="C32" s="1" t="s">
        <x:v>198</x:v>
      </x:c>
      <x:c r="D32" s="1" t="s">
        <x:v>199</x:v>
      </x:c>
      <x:c r="E32" s="1" t="n">
        <x:v>2090</x:v>
      </x:c>
      <x:c r="F32" s="1"/>
      <x:c r="G32" s="1"/>
      <x:c r="H32" s="1"/>
      <x:c r="I32" s="1"/>
      <x:c r="J32" s="10" t="s">
        <x:v>178</x:v>
      </x:c>
      <x:c r="K32" s="1" t="s">
        <x:v>197</x:v>
      </x:c>
      <x:c r="L32" s="3" t="s">
        <x:v>46</x:v>
      </x:c>
      <x:c r="M32" s="3" t="s">
        <x:v>131</x:v>
      </x:c>
      <x:c r="N32" s="3" t="s">
        <x:v>48</x:v>
      </x:c>
      <x:c r="O32" s="3"/>
      <x:c r="P32" s="3" t="s">
        <x:v>132</x:v>
      </x:c>
      <x:c r="Q32" s="3" t="s">
        <x:v>36</x:v>
      </x:c>
      <x:c r="R32" s="3" t="s">
        <x:v>37</x:v>
      </x:c>
      <x:c r="S32" s="3" t="s">
        <x:v>38</x:v>
      </x:c>
      <x:c r="T32" s="3" t="s">
        <x:v>39</x:v>
      </x:c>
      <x:c r="U32" s="3" t="s">
        <x:v>180</x:v>
      </x:c>
      <x:c r="V32" s="3" t="s">
        <x:v>181</x:v>
      </x:c>
      <x:c r="W32" s="3" t="n">
        <x:v>25.5</x:v>
      </x:c>
      <x:c r="X32" s="3" t="n">
        <x:f aca="0">IF(ISNUMBER(W32),W32*3.412142,"")</x:f>
        <x:v>87.009621</x:v>
      </x:c>
      <x:c r="Y32" s="3" t="s">
        <x:v>182</x:v>
      </x:c>
      <x:c r="Z32" s="4"/>
      <x:c r="AA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</x:row>
    <x:row r="33" s="2" customFormat="1" ht="15.75" hidden="0" customHeight="1">
      <x:c r="A33" s="1" t="s">
        <x:v>175</x:v>
      </x:c>
      <x:c r="B33" s="1" t="s">
        <x:v>27</x:v>
      </x:c>
      <x:c r="C33" s="1" t="s">
        <x:v>200</x:v>
      </x:c>
      <x:c r="D33" s="1" t="s">
        <x:v>201</x:v>
      </x:c>
      <x:c r="E33" s="1" t="n">
        <x:v>2910</x:v>
      </x:c>
      <x:c r="F33" s="1"/>
      <x:c r="G33" s="1"/>
      <x:c r="H33" s="1"/>
      <x:c r="I33" s="1"/>
      <x:c r="J33" s="10" t="s">
        <x:v>178</x:v>
      </x:c>
      <x:c r="K33" s="1" t="s">
        <x:v>202</x:v>
      </x:c>
      <x:c r="L33" s="3" t="s">
        <x:v>46</x:v>
      </x:c>
      <x:c r="M33" s="3" t="s">
        <x:v>131</x:v>
      </x:c>
      <x:c r="N33" s="3" t="s">
        <x:v>48</x:v>
      </x:c>
      <x:c r="O33" s="3"/>
      <x:c r="P33" s="3" t="s">
        <x:v>132</x:v>
      </x:c>
      <x:c r="Q33" s="3" t="s">
        <x:v>36</x:v>
      </x:c>
      <x:c r="R33" s="3" t="s">
        <x:v>37</x:v>
      </x:c>
      <x:c r="S33" s="3" t="s">
        <x:v>38</x:v>
      </x:c>
      <x:c r="T33" s="3" t="s">
        <x:v>39</x:v>
      </x:c>
      <x:c r="U33" s="3" t="s">
        <x:v>180</x:v>
      </x:c>
      <x:c r="V33" s="3" t="s">
        <x:v>181</x:v>
      </x:c>
      <x:c r="W33" s="3" t="n">
        <x:v>25.5</x:v>
      </x:c>
      <x:c r="X33" s="3" t="n">
        <x:f aca="0">IF(ISNUMBER(W33),W33*3.412142,"")</x:f>
        <x:v>87.009621</x:v>
      </x:c>
      <x:c r="Y33" s="3" t="s">
        <x:v>182</x:v>
      </x:c>
      <x:c r="Z33" s="4"/>
      <x:c r="AA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</x:row>
    <x:row r="34" s="2" customFormat="1" ht="15.75" hidden="0" customHeight="1">
      <x:c r="A34" s="1" t="s">
        <x:v>175</x:v>
      </x:c>
      <x:c r="B34" s="1" t="s">
        <x:v>27</x:v>
      </x:c>
      <x:c r="C34" s="1" t="s">
        <x:v>203</x:v>
      </x:c>
      <x:c r="D34" s="1" t="s">
        <x:v>204</x:v>
      </x:c>
      <x:c r="E34" s="1" t="n">
        <x:v>2420</x:v>
      </x:c>
      <x:c r="F34" s="1"/>
      <x:c r="G34" s="1"/>
      <x:c r="H34" s="1"/>
      <x:c r="I34" s="1"/>
      <x:c r="J34" s="10" t="s">
        <x:v>178</x:v>
      </x:c>
      <x:c r="K34" s="1" t="s">
        <x:v>205</x:v>
      </x:c>
      <x:c r="L34" s="3" t="s">
        <x:v>55</x:v>
      </x:c>
      <x:c r="M34" s="3" t="s">
        <x:v>56</x:v>
      </x:c>
      <x:c r="N34" s="3" t="s">
        <x:v>34</x:v>
      </x:c>
      <x:c r="O34" s="3"/>
      <x:c r="P34" s="3" t="s">
        <x:v>206</x:v>
      </x:c>
      <x:c r="Q34" s="3" t="s">
        <x:v>36</x:v>
      </x:c>
      <x:c r="R34" s="3" t="s">
        <x:v>37</x:v>
      </x:c>
      <x:c r="S34" s="3" t="s">
        <x:v>38</x:v>
      </x:c>
      <x:c r="T34" s="3" t="s">
        <x:v>39</x:v>
      </x:c>
      <x:c r="U34" s="3" t="s">
        <x:v>40</x:v>
      </x:c>
      <x:c r="V34" s="3" t="s">
        <x:v>41</x:v>
      </x:c>
      <x:c r="W34" s="3" t="n">
        <x:v>100</x:v>
      </x:c>
      <x:c r="X34" s="3" t="n">
        <x:f aca="0">IF(ISNUMBER(W34),W34*3.412142,"")</x:f>
        <x:v>341.2142</x:v>
      </x:c>
      <x:c r="Y34" s="3" t="s">
        <x:v>42</x:v>
      </x:c>
      <x:c r="Z34" s="4"/>
      <x:c r="AA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</x:row>
    <x:row r="35" s="2" customFormat="1" ht="15.75" hidden="0" customHeight="1">
      <x:c r="A35" s="1" t="s">
        <x:v>207</x:v>
      </x:c>
      <x:c r="B35" s="1" t="s">
        <x:v>27</x:v>
      </x:c>
      <x:c r="C35" s="1" t="s">
        <x:v>208</x:v>
      </x:c>
      <x:c r="D35" s="1" t="s">
        <x:v>209</x:v>
      </x:c>
      <x:c r="E35" s="1" t="n">
        <x:v>2680</x:v>
      </x:c>
      <x:c r="F35" s="1"/>
      <x:c r="G35" s="1"/>
      <x:c r="H35" s="1"/>
      <x:c r="I35" s="1"/>
      <x:c r="J35" s="11" t="s">
        <x:v>210</x:v>
      </x:c>
      <x:c r="K35" s="1" t="s">
        <x:v>211</x:v>
      </x:c>
      <x:c r="L35" s="3" t="s">
        <x:v>55</x:v>
      </x:c>
      <x:c r="M35" s="3" t="s">
        <x:v>56</x:v>
      </x:c>
      <x:c r="N35" s="3" t="s">
        <x:v>34</x:v>
      </x:c>
      <x:c r="O35" s="3"/>
      <x:c r="P35" s="3" t="s">
        <x:v>206</x:v>
      </x:c>
      <x:c r="Q35" s="3" t="s">
        <x:v>36</x:v>
      </x:c>
      <x:c r="R35" s="3" t="s">
        <x:v>37</x:v>
      </x:c>
      <x:c r="S35" s="3" t="s">
        <x:v>38</x:v>
      </x:c>
      <x:c r="T35" s="3" t="s">
        <x:v>39</x:v>
      </x:c>
      <x:c r="U35" s="3" t="s">
        <x:v>40</x:v>
      </x:c>
      <x:c r="V35" s="3" t="s">
        <x:v>41</x:v>
      </x:c>
      <x:c r="W35" s="3" t="n">
        <x:v>100</x:v>
      </x:c>
      <x:c r="X35" s="3" t="n">
        <x:f aca="0">IF(ISNUMBER(W35),W35*3.412142,"")</x:f>
        <x:v>341.2142</x:v>
      </x:c>
      <x:c r="Y35" s="3" t="s">
        <x:v>42</x:v>
      </x:c>
      <x:c r="Z35" s="4" t="s">
        <x:v>212</x:v>
      </x:c>
      <x:c r="AA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</x:row>
    <x:row r="36" s="2" customFormat="1" ht="15.75" hidden="0" customHeight="1">
      <x:c r="A36" s="1" t="s">
        <x:v>207</x:v>
      </x:c>
      <x:c r="B36" s="1" t="s">
        <x:v>27</x:v>
      </x:c>
      <x:c r="C36" s="1" t="s">
        <x:v>213</x:v>
      </x:c>
      <x:c r="D36" s="1" t="s">
        <x:v>214</x:v>
      </x:c>
      <x:c r="E36" s="1" t="n">
        <x:v>3160</x:v>
      </x:c>
      <x:c r="F36" s="1"/>
      <x:c r="G36" s="1"/>
      <x:c r="H36" s="1"/>
      <x:c r="I36" s="1"/>
      <x:c r="J36" s="11" t="s">
        <x:v>210</x:v>
      </x:c>
      <x:c r="K36" s="1" t="s">
        <x:v>215</x:v>
      </x:c>
      <x:c r="L36" s="3" t="s">
        <x:v>55</x:v>
      </x:c>
      <x:c r="M36" s="3" t="s">
        <x:v>56</x:v>
      </x:c>
      <x:c r="N36" s="3" t="s">
        <x:v>34</x:v>
      </x:c>
      <x:c r="O36" s="3"/>
      <x:c r="P36" s="3" t="s">
        <x:v>206</x:v>
      </x:c>
      <x:c r="Q36" s="3" t="s">
        <x:v>36</x:v>
      </x:c>
      <x:c r="R36" s="3" t="s">
        <x:v>37</x:v>
      </x:c>
      <x:c r="S36" s="3" t="s">
        <x:v>38</x:v>
      </x:c>
      <x:c r="T36" s="3" t="s">
        <x:v>39</x:v>
      </x:c>
      <x:c r="U36" s="3" t="s">
        <x:v>40</x:v>
      </x:c>
      <x:c r="V36" s="3" t="s">
        <x:v>41</x:v>
      </x:c>
      <x:c r="W36" s="3" t="n">
        <x:v>100</x:v>
      </x:c>
      <x:c r="X36" s="3" t="n">
        <x:f aca="0">IF(ISNUMBER(W36),W36*3.412142,"")</x:f>
        <x:v>341.2142</x:v>
      </x:c>
      <x:c r="Y36" s="3" t="s">
        <x:v>42</x:v>
      </x:c>
      <x:c r="Z36" s="4" t="s">
        <x:v>216</x:v>
      </x:c>
      <x:c r="AA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</x:row>
    <x:row r="37" s="2" customFormat="1" ht="15.75" hidden="0" customHeight="1">
      <x:c r="A37" s="1" t="s">
        <x:v>207</x:v>
      </x:c>
      <x:c r="B37" s="1" t="s">
        <x:v>27</x:v>
      </x:c>
      <x:c r="C37" s="1" t="s">
        <x:v>217</x:v>
      </x:c>
      <x:c r="D37" s="1" t="s">
        <x:v>218</x:v>
      </x:c>
      <x:c r="E37" s="1" t="n">
        <x:v>2920</x:v>
      </x:c>
      <x:c r="F37" s="1"/>
      <x:c r="G37" s="1"/>
      <x:c r="H37" s="1"/>
      <x:c r="I37" s="1"/>
      <x:c r="J37" s="11" t="s">
        <x:v>210</x:v>
      </x:c>
      <x:c r="K37" s="1" t="s">
        <x:v>219</x:v>
      </x:c>
      <x:c r="L37" s="3" t="s">
        <x:v>55</x:v>
      </x:c>
      <x:c r="M37" s="3" t="s">
        <x:v>63</x:v>
      </x:c>
      <x:c r="N37" s="3" t="s">
        <x:v>118</x:v>
      </x:c>
      <x:c r="O37" s="3"/>
      <x:c r="P37" s="3" t="s">
        <x:v>119</x:v>
      </x:c>
      <x:c r="Q37" s="3" t="s">
        <x:v>66</x:v>
      </x:c>
      <x:c r="R37" s="3" t="s">
        <x:v>67</x:v>
      </x:c>
      <x:c r="S37" s="3" t="s">
        <x:v>68</x:v>
      </x:c>
      <x:c r="T37" s="3" t="s">
        <x:v>39</x:v>
      </x:c>
      <x:c r="U37" s="3" t="s">
        <x:v>40</x:v>
      </x:c>
      <x:c r="V37" s="3" t="s">
        <x:v>41</x:v>
      </x:c>
      <x:c r="W37" s="3" t="n">
        <x:v>100</x:v>
      </x:c>
      <x:c r="X37" s="3" t="n">
        <x:f aca="0">IF(ISNUMBER(W37),W37*3.412142,"")</x:f>
        <x:v>341.2142</x:v>
      </x:c>
      <x:c r="Y37" s="3" t="s">
        <x:v>42</x:v>
      </x:c>
      <x:c r="Z37" s="4"/>
      <x:c r="AA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</x:row>
    <x:row r="38" s="2" customFormat="1" ht="15.75" hidden="0" customHeight="1">
      <x:c r="A38" s="1" t="s">
        <x:v>207</x:v>
      </x:c>
      <x:c r="B38" s="1" t="s">
        <x:v>27</x:v>
      </x:c>
      <x:c r="C38" s="1" t="s">
        <x:v>220</x:v>
      </x:c>
      <x:c r="D38" s="1" t="s">
        <x:v>221</x:v>
      </x:c>
      <x:c r="E38" s="1" t="n">
        <x:v>3530</x:v>
      </x:c>
      <x:c r="F38" s="1"/>
      <x:c r="G38" s="1"/>
      <x:c r="H38" s="1"/>
      <x:c r="I38" s="1"/>
      <x:c r="J38" s="11" t="s">
        <x:v>210</x:v>
      </x:c>
      <x:c r="K38" s="1" t="s">
        <x:v>222</x:v>
      </x:c>
      <x:c r="L38" s="3" t="s">
        <x:v>55</x:v>
      </x:c>
      <x:c r="M38" s="3" t="s">
        <x:v>63</x:v>
      </x:c>
      <x:c r="N38" s="3" t="s">
        <x:v>118</x:v>
      </x:c>
      <x:c r="O38" s="3"/>
      <x:c r="P38" s="3" t="s">
        <x:v>119</x:v>
      </x:c>
      <x:c r="Q38" s="3" t="s">
        <x:v>66</x:v>
      </x:c>
      <x:c r="R38" s="3" t="s">
        <x:v>67</x:v>
      </x:c>
      <x:c r="S38" s="3" t="s">
        <x:v>68</x:v>
      </x:c>
      <x:c r="T38" s="3" t="s">
        <x:v>39</x:v>
      </x:c>
      <x:c r="U38" s="3" t="s">
        <x:v>40</x:v>
      </x:c>
      <x:c r="V38" s="3" t="s">
        <x:v>41</x:v>
      </x:c>
      <x:c r="W38" s="3" t="n">
        <x:v>100</x:v>
      </x:c>
      <x:c r="X38" s="3" t="n">
        <x:f aca="0">IF(ISNUMBER(W38),W38*3.412142,"")</x:f>
        <x:v>341.2142</x:v>
      </x:c>
      <x:c r="Y38" s="3" t="s">
        <x:v>42</x:v>
      </x:c>
      <x:c r="Z38" s="4"/>
      <x:c r="AA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</x:row>
    <x:row r="39" s="2" customFormat="1" ht="15.75" hidden="0" customHeight="1">
      <x:c r="A39" s="1" t="s">
        <x:v>207</x:v>
      </x:c>
      <x:c r="B39" s="1" t="s">
        <x:v>27</x:v>
      </x:c>
      <x:c r="C39" s="1" t="s">
        <x:v>223</x:v>
      </x:c>
      <x:c r="D39" s="1" t="s">
        <x:v>224</x:v>
      </x:c>
      <x:c r="E39" s="1" t="n">
        <x:v>4610</x:v>
      </x:c>
      <x:c r="F39" s="1"/>
      <x:c r="G39" s="1"/>
      <x:c r="H39" s="1"/>
      <x:c r="I39" s="1"/>
      <x:c r="J39" s="11" t="s">
        <x:v>210</x:v>
      </x:c>
      <x:c r="K39" s="1" t="s">
        <x:v>225</x:v>
      </x:c>
      <x:c r="L39" s="3" t="s">
        <x:v>55</x:v>
      </x:c>
      <x:c r="M39" s="3" t="s">
        <x:v>63</x:v>
      </x:c>
      <x:c r="N39" s="3" t="s">
        <x:v>118</x:v>
      </x:c>
      <x:c r="O39" s="3"/>
      <x:c r="P39" s="3" t="s">
        <x:v>119</x:v>
      </x:c>
      <x:c r="Q39" s="3" t="s">
        <x:v>66</x:v>
      </x:c>
      <x:c r="R39" s="3" t="s">
        <x:v>67</x:v>
      </x:c>
      <x:c r="S39" s="3" t="s">
        <x:v>68</x:v>
      </x:c>
      <x:c r="T39" s="3" t="s">
        <x:v>39</x:v>
      </x:c>
      <x:c r="U39" s="3" t="s">
        <x:v>40</x:v>
      </x:c>
      <x:c r="V39" s="3" t="s">
        <x:v>41</x:v>
      </x:c>
      <x:c r="W39" s="3" t="n">
        <x:v>100</x:v>
      </x:c>
      <x:c r="X39" s="3" t="n">
        <x:f aca="0">IF(ISNUMBER(W39),W39*3.412142,"")</x:f>
        <x:v>341.2142</x:v>
      </x:c>
      <x:c r="Y39" s="3" t="s">
        <x:v>42</x:v>
      </x:c>
      <x:c r="Z39" s="4" t="s">
        <x:v>226</x:v>
      </x:c>
      <x:c r="AA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</x:row>
    <x:row r="40" s="2" customFormat="1" ht="15.75" hidden="0" customHeight="1">
      <x:c r="A40" s="1" t="s">
        <x:v>227</x:v>
      </x:c>
      <x:c r="B40" s="1" t="s">
        <x:v>27</x:v>
      </x:c>
      <x:c r="C40" s="1" t="s">
        <x:v>228</x:v>
      </x:c>
      <x:c r="D40" s="1" t="s">
        <x:v>229</x:v>
      </x:c>
      <x:c r="E40" s="1" t="n">
        <x:v>1110</x:v>
      </x:c>
      <x:c r="F40" s="1"/>
      <x:c r="G40" s="1"/>
      <x:c r="H40" s="1"/>
      <x:c r="I40" s="1"/>
      <x:c r="J40" s="12" t="s">
        <x:v>230</x:v>
      </x:c>
      <x:c r="K40" s="1" t="s">
        <x:v>231</x:v>
      </x:c>
      <x:c r="L40" s="3" t="s">
        <x:v>55</x:v>
      </x:c>
      <x:c r="M40" s="3" t="s">
        <x:v>63</x:v>
      </x:c>
      <x:c r="N40" s="3" t="s">
        <x:v>118</x:v>
      </x:c>
      <x:c r="O40" s="3"/>
      <x:c r="P40" s="3" t="s">
        <x:v>232</x:v>
      </x:c>
      <x:c r="Q40" s="3" t="s">
        <x:v>66</x:v>
      </x:c>
      <x:c r="R40" s="3" t="s">
        <x:v>67</x:v>
      </x:c>
      <x:c r="S40" s="3" t="s">
        <x:v>68</x:v>
      </x:c>
      <x:c r="T40" s="3" t="s">
        <x:v>39</x:v>
      </x:c>
      <x:c r="U40" s="3" t="s">
        <x:v>40</x:v>
      </x:c>
      <x:c r="V40" s="3" t="s">
        <x:v>233</x:v>
      </x:c>
      <x:c r="W40" s="3" t="n">
        <x:v>150</x:v>
      </x:c>
      <x:c r="X40" s="3" t="n">
        <x:f aca="0">IF(ISNUMBER(W40),W40*3.412142,"")</x:f>
        <x:v>511.82129999999995</x:v>
      </x:c>
      <x:c r="Y40" s="3" t="s">
        <x:v>42</x:v>
      </x:c>
      <x:c r="Z40" s="4" t="s">
        <x:v>234</x:v>
      </x:c>
      <x:c r="AA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</x:row>
    <x:row r="41" s="2" customFormat="1" ht="15.75" hidden="0" customHeight="1">
      <x:c r="A41" s="1" t="s">
        <x:v>227</x:v>
      </x:c>
      <x:c r="B41" s="1" t="s">
        <x:v>27</x:v>
      </x:c>
      <x:c r="C41" s="1" t="s">
        <x:v>228</x:v>
      </x:c>
      <x:c r="D41" s="1" t="s">
        <x:v>235</x:v>
      </x:c>
      <x:c r="E41" s="1" t="n">
        <x:v>1690</x:v>
      </x:c>
      <x:c r="F41" s="1"/>
      <x:c r="G41" s="1"/>
      <x:c r="H41" s="1"/>
      <x:c r="I41" s="1"/>
      <x:c r="J41" s="12" t="s">
        <x:v>230</x:v>
      </x:c>
      <x:c r="K41" s="1" t="s">
        <x:v>236</x:v>
      </x:c>
      <x:c r="L41" s="3" t="s">
        <x:v>55</x:v>
      </x:c>
      <x:c r="M41" s="3" t="s">
        <x:v>63</x:v>
      </x:c>
      <x:c r="N41" s="3" t="s">
        <x:v>118</x:v>
      </x:c>
      <x:c r="O41" s="3"/>
      <x:c r="P41" s="3" t="s">
        <x:v>232</x:v>
      </x:c>
      <x:c r="Q41" s="3" t="s">
        <x:v>66</x:v>
      </x:c>
      <x:c r="R41" s="3" t="s">
        <x:v>67</x:v>
      </x:c>
      <x:c r="S41" s="3" t="s">
        <x:v>68</x:v>
      </x:c>
      <x:c r="T41" s="3" t="s">
        <x:v>39</x:v>
      </x:c>
      <x:c r="U41" s="3" t="s">
        <x:v>40</x:v>
      </x:c>
      <x:c r="V41" s="3" t="s">
        <x:v>233</x:v>
      </x:c>
      <x:c r="W41" s="3" t="n">
        <x:v>150</x:v>
      </x:c>
      <x:c r="X41" s="3" t="n">
        <x:f aca="0">IF(ISNUMBER(W41),W41*3.412142,"")</x:f>
        <x:v>511.82129999999995</x:v>
      </x:c>
      <x:c r="Y41" s="3" t="s">
        <x:v>42</x:v>
      </x:c>
      <x:c r="Z41" s="4" t="s">
        <x:v>237</x:v>
      </x:c>
      <x:c r="AA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</x:row>
    <x:row r="42" s="2" customFormat="1" ht="15.75" hidden="0" customHeight="1">
      <x:c r="A42" s="1" t="s">
        <x:v>227</x:v>
      </x:c>
      <x:c r="B42" s="1" t="s">
        <x:v>27</x:v>
      </x:c>
      <x:c r="C42" s="1" t="s">
        <x:v>238</x:v>
      </x:c>
      <x:c r="D42" s="1" t="s">
        <x:v>239</x:v>
      </x:c>
      <x:c r="E42" s="1" t="n">
        <x:v>3140</x:v>
      </x:c>
      <x:c r="F42" s="1"/>
      <x:c r="G42" s="1"/>
      <x:c r="H42" s="1"/>
      <x:c r="I42" s="1"/>
      <x:c r="J42" s="12" t="s">
        <x:v>230</x:v>
      </x:c>
      <x:c r="K42" s="1" t="s">
        <x:v>240</x:v>
      </x:c>
      <x:c r="L42" s="3" t="s">
        <x:v>55</x:v>
      </x:c>
      <x:c r="M42" s="3" t="s">
        <x:v>63</x:v>
      </x:c>
      <x:c r="N42" s="3" t="s">
        <x:v>118</x:v>
      </x:c>
      <x:c r="O42" s="3"/>
      <x:c r="P42" s="3" t="s">
        <x:v>232</x:v>
      </x:c>
      <x:c r="Q42" s="3" t="s">
        <x:v>66</x:v>
      </x:c>
      <x:c r="R42" s="3" t="s">
        <x:v>67</x:v>
      </x:c>
      <x:c r="S42" s="3" t="s">
        <x:v>68</x:v>
      </x:c>
      <x:c r="T42" s="3" t="s">
        <x:v>39</x:v>
      </x:c>
      <x:c r="U42" s="3" t="s">
        <x:v>40</x:v>
      </x:c>
      <x:c r="V42" s="3" t="s">
        <x:v>233</x:v>
      </x:c>
      <x:c r="W42" s="3" t="n">
        <x:v>150</x:v>
      </x:c>
      <x:c r="X42" s="3" t="n">
        <x:f aca="0">IF(ISNUMBER(W42),W42*3.412142,"")</x:f>
        <x:v>511.82129999999995</x:v>
      </x:c>
      <x:c r="Y42" s="3" t="s">
        <x:v>42</x:v>
      </x:c>
      <x:c r="Z42" s="4" t="s">
        <x:v>241</x:v>
      </x:c>
      <x:c r="AA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</x:row>
    <x:row r="43" s="2" customFormat="1" ht="15.75" hidden="0" customHeight="1">
      <x:c r="A43" s="1" t="s">
        <x:v>227</x:v>
      </x:c>
      <x:c r="B43" s="1" t="s">
        <x:v>27</x:v>
      </x:c>
      <x:c r="C43" s="1" t="s">
        <x:v>238</x:v>
      </x:c>
      <x:c r="D43" s="1" t="s">
        <x:v>242</x:v>
      </x:c>
      <x:c r="E43" s="1" t="n">
        <x:v>6390</x:v>
      </x:c>
      <x:c r="F43" s="1"/>
      <x:c r="G43" s="1"/>
      <x:c r="H43" s="1"/>
      <x:c r="I43" s="1"/>
      <x:c r="J43" s="12" t="s">
        <x:v>230</x:v>
      </x:c>
      <x:c r="K43" s="1" t="s">
        <x:v>243</x:v>
      </x:c>
      <x:c r="L43" s="3" t="s">
        <x:v>55</x:v>
      </x:c>
      <x:c r="M43" s="3" t="s">
        <x:v>63</x:v>
      </x:c>
      <x:c r="N43" s="3" t="s">
        <x:v>118</x:v>
      </x:c>
      <x:c r="O43" s="3"/>
      <x:c r="P43" s="3" t="s">
        <x:v>232</x:v>
      </x:c>
      <x:c r="Q43" s="3" t="s">
        <x:v>66</x:v>
      </x:c>
      <x:c r="R43" s="3" t="s">
        <x:v>67</x:v>
      </x:c>
      <x:c r="S43" s="3" t="s">
        <x:v>68</x:v>
      </x:c>
      <x:c r="T43" s="3" t="s">
        <x:v>39</x:v>
      </x:c>
      <x:c r="U43" s="3" t="s">
        <x:v>40</x:v>
      </x:c>
      <x:c r="V43" s="3" t="s">
        <x:v>233</x:v>
      </x:c>
      <x:c r="W43" s="3" t="n">
        <x:v>150</x:v>
      </x:c>
      <x:c r="X43" s="3" t="n">
        <x:f aca="0">IF(ISNUMBER(W43),W43*3.412142,"")</x:f>
        <x:v>511.82129999999995</x:v>
      </x:c>
      <x:c r="Y43" s="3" t="s">
        <x:v>42</x:v>
      </x:c>
      <x:c r="Z43" s="4" t="s">
        <x:v>244</x:v>
      </x:c>
      <x:c r="AA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</x:row>
    <x:row r="44" s="2" customFormat="1" ht="15.75" hidden="0" customHeight="1">
      <x:c r="A44" s="1" t="s">
        <x:v>227</x:v>
      </x:c>
      <x:c r="B44" s="1" t="s">
        <x:v>27</x:v>
      </x:c>
      <x:c r="C44" s="1" t="s">
        <x:v>245</x:v>
      </x:c>
      <x:c r="D44" s="1" t="s">
        <x:v>246</x:v>
      </x:c>
      <x:c r="E44" s="1" t="n">
        <x:v>3990</x:v>
      </x:c>
      <x:c r="F44" s="1"/>
      <x:c r="G44" s="1"/>
      <x:c r="H44" s="1"/>
      <x:c r="I44" s="1"/>
      <x:c r="J44" s="12" t="s">
        <x:v>230</x:v>
      </x:c>
      <x:c r="K44" s="1" t="s">
        <x:v>247</x:v>
      </x:c>
      <x:c r="L44" s="3" t="s">
        <x:v>55</x:v>
      </x:c>
      <x:c r="M44" s="3" t="s">
        <x:v>63</x:v>
      </x:c>
      <x:c r="N44" s="3" t="s">
        <x:v>118</x:v>
      </x:c>
      <x:c r="O44" s="3"/>
      <x:c r="P44" s="3" t="s">
        <x:v>232</x:v>
      </x:c>
      <x:c r="Q44" s="3" t="s">
        <x:v>66</x:v>
      </x:c>
      <x:c r="R44" s="3" t="s">
        <x:v>67</x:v>
      </x:c>
      <x:c r="S44" s="3" t="s">
        <x:v>68</x:v>
      </x:c>
      <x:c r="T44" s="3" t="s">
        <x:v>39</x:v>
      </x:c>
      <x:c r="U44" s="3" t="s">
        <x:v>40</x:v>
      </x:c>
      <x:c r="V44" s="3" t="s">
        <x:v>233</x:v>
      </x:c>
      <x:c r="W44" s="3" t="n">
        <x:v>150</x:v>
      </x:c>
      <x:c r="X44" s="3" t="n">
        <x:f aca="0">IF(ISNUMBER(W44),W44*3.412142,"")</x:f>
        <x:v>511.82129999999995</x:v>
      </x:c>
      <x:c r="Y44" s="3" t="s">
        <x:v>42</x:v>
      </x:c>
      <x:c r="Z44" s="4" t="s">
        <x:v>248</x:v>
      </x:c>
      <x:c r="AA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</x:row>
    <x:row r="45" s="2" customFormat="1" ht="15.75" hidden="0" customHeight="1">
      <x:c r="A45" s="1" t="s">
        <x:v>227</x:v>
      </x:c>
      <x:c r="B45" s="1" t="s">
        <x:v>27</x:v>
      </x:c>
      <x:c r="C45" s="1" t="s">
        <x:v>249</x:v>
      </x:c>
      <x:c r="D45" s="1" t="s">
        <x:v>250</x:v>
      </x:c>
      <x:c r="E45" s="1" t="n">
        <x:v>830</x:v>
      </x:c>
      <x:c r="F45" s="1"/>
      <x:c r="G45" s="1"/>
      <x:c r="H45" s="1"/>
      <x:c r="I45" s="1"/>
      <x:c r="J45" s="12" t="s">
        <x:v>230</x:v>
      </x:c>
      <x:c r="K45" s="1" t="s">
        <x:v>251</x:v>
      </x:c>
      <x:c r="L45" s="3" t="s">
        <x:v>55</x:v>
      </x:c>
      <x:c r="M45" s="3" t="s">
        <x:v>63</x:v>
      </x:c>
      <x:c r="N45" s="3" t="s">
        <x:v>118</x:v>
      </x:c>
      <x:c r="O45" s="3"/>
      <x:c r="P45" s="3" t="s">
        <x:v>232</x:v>
      </x:c>
      <x:c r="Q45" s="3" t="s">
        <x:v>66</x:v>
      </x:c>
      <x:c r="R45" s="3" t="s">
        <x:v>67</x:v>
      </x:c>
      <x:c r="S45" s="3" t="s">
        <x:v>68</x:v>
      </x:c>
      <x:c r="T45" s="3" t="s">
        <x:v>39</x:v>
      </x:c>
      <x:c r="U45" s="3" t="s">
        <x:v>40</x:v>
      </x:c>
      <x:c r="V45" s="3" t="s">
        <x:v>233</x:v>
      </x:c>
      <x:c r="W45" s="3" t="n">
        <x:v>150</x:v>
      </x:c>
      <x:c r="X45" s="3" t="n">
        <x:f aca="0">IF(ISNUMBER(W45),W45*3.412142,"")</x:f>
        <x:v>511.82129999999995</x:v>
      </x:c>
      <x:c r="Y45" s="3" t="s">
        <x:v>42</x:v>
      </x:c>
      <x:c r="Z45" s="4"/>
      <x:c r="AA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</x:row>
    <x:row r="46" s="2" customFormat="1" ht="15.75" hidden="0" customHeight="1">
      <x:c r="A46" s="1" t="s">
        <x:v>252</x:v>
      </x:c>
      <x:c r="B46" s="1" t="s">
        <x:v>27</x:v>
      </x:c>
      <x:c r="C46" s="1" t="s">
        <x:v>253</x:v>
      </x:c>
      <x:c r="D46" s="1" t="s">
        <x:v>254</x:v>
      </x:c>
      <x:c r="E46" s="1" t="n">
        <x:v>1690</x:v>
      </x:c>
      <x:c r="F46" s="1"/>
      <x:c r="G46" s="1"/>
      <x:c r="H46" s="1"/>
      <x:c r="I46" s="1"/>
      <x:c r="J46" s="13" t="s">
        <x:v>255</x:v>
      </x:c>
      <x:c r="K46" s="1" t="s">
        <x:v>256</x:v>
      </x:c>
      <x:c r="L46" s="3" t="s">
        <x:v>46</x:v>
      </x:c>
      <x:c r="M46" s="3" t="s">
        <x:v>56</x:v>
      </x:c>
      <x:c r="N46" s="3" t="s">
        <x:v>48</x:v>
      </x:c>
      <x:c r="O46" s="3"/>
      <x:c r="P46" s="3" t="s">
        <x:v>49</x:v>
      </x:c>
      <x:c r="Q46" s="3" t="s">
        <x:v>36</x:v>
      </x:c>
      <x:c r="R46" s="3" t="s">
        <x:v>37</x:v>
      </x:c>
      <x:c r="S46" s="3" t="s">
        <x:v>38</x:v>
      </x:c>
      <x:c r="T46" s="3" t="s">
        <x:v>39</x:v>
      </x:c>
      <x:c r="U46" s="3" t="s">
        <x:v>133</x:v>
      </x:c>
      <x:c r="V46" s="3" t="s">
        <x:v>134</x:v>
      </x:c>
      <x:c r="W46" s="3" t="n">
        <x:v>12</x:v>
      </x:c>
      <x:c r="X46" s="3" t="n">
        <x:f aca="0">IF(ISNUMBER(W46),W46*3.412142,"")</x:f>
        <x:v>40.945704</x:v>
      </x:c>
      <x:c r="Y46" s="3" t="s">
        <x:v>135</x:v>
      </x:c>
      <x:c r="Z46" s="4" t="s">
        <x:v>257</x:v>
      </x:c>
      <x:c r="AA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</x:row>
    <x:row r="47" s="2" customFormat="1" ht="15.75" hidden="0" customHeight="1">
      <x:c r="A47" s="1" t="s">
        <x:v>252</x:v>
      </x:c>
      <x:c r="B47" s="1" t="s">
        <x:v>27</x:v>
      </x:c>
      <x:c r="C47" s="1" t="s">
        <x:v>258</x:v>
      </x:c>
      <x:c r="D47" s="1" t="s">
        <x:v>259</x:v>
      </x:c>
      <x:c r="E47" s="1" t="n">
        <x:v>6050</x:v>
      </x:c>
      <x:c r="F47" s="1"/>
      <x:c r="G47" s="1"/>
      <x:c r="H47" s="1"/>
      <x:c r="I47" s="1"/>
      <x:c r="J47" s="13" t="s">
        <x:v>255</x:v>
      </x:c>
      <x:c r="K47" s="1" t="s">
        <x:v>260</x:v>
      </x:c>
      <x:c r="L47" s="3" t="s">
        <x:v>55</x:v>
      </x:c>
      <x:c r="M47" s="3" t="s">
        <x:v>63</x:v>
      </x:c>
      <x:c r="N47" s="3" t="s">
        <x:v>118</x:v>
      </x:c>
      <x:c r="O47" s="3"/>
      <x:c r="P47" s="3" t="s">
        <x:v>119</x:v>
      </x:c>
      <x:c r="Q47" s="3" t="s">
        <x:v>66</x:v>
      </x:c>
      <x:c r="R47" s="3" t="s">
        <x:v>67</x:v>
      </x:c>
      <x:c r="S47" s="3" t="s">
        <x:v>68</x:v>
      </x:c>
      <x:c r="T47" s="3" t="s">
        <x:v>39</x:v>
      </x:c>
      <x:c r="U47" s="3" t="s">
        <x:v>40</x:v>
      </x:c>
      <x:c r="V47" s="3" t="s">
        <x:v>261</x:v>
      </x:c>
      <x:c r="W47" s="3" t="n">
        <x:v>45</x:v>
      </x:c>
      <x:c r="X47" s="3" t="n">
        <x:f aca="0">IF(ISNUMBER(W47),W47*3.412142,"")</x:f>
        <x:v>153.54639</x:v>
      </x:c>
      <x:c r="Y47" s="3" t="s">
        <x:v>42</x:v>
      </x:c>
      <x:c r="Z47" s="4" t="s">
        <x:v>262</x:v>
      </x:c>
      <x:c r="AA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</x:row>
    <x:row r="48" s="2" customFormat="1" ht="15.75" hidden="0" customHeight="1">
      <x:c r="A48" s="1" t="s">
        <x:v>252</x:v>
      </x:c>
      <x:c r="B48" s="1" t="s">
        <x:v>27</x:v>
      </x:c>
      <x:c r="C48" s="1" t="s">
        <x:v>263</x:v>
      </x:c>
      <x:c r="D48" s="1" t="s">
        <x:v>264</x:v>
      </x:c>
      <x:c r="E48" s="1" t="n">
        <x:v>2530</x:v>
      </x:c>
      <x:c r="F48" s="1"/>
      <x:c r="G48" s="1"/>
      <x:c r="H48" s="1"/>
      <x:c r="I48" s="1"/>
      <x:c r="J48" s="13" t="s">
        <x:v>255</x:v>
      </x:c>
      <x:c r="K48" s="1" t="s">
        <x:v>265</x:v>
      </x:c>
      <x:c r="L48" s="3" t="s">
        <x:v>266</x:v>
      </x:c>
      <x:c r="M48" s="3" t="s">
        <x:v>267</x:v>
      </x:c>
      <x:c r="N48" s="3" t="s">
        <x:v>268</x:v>
      </x:c>
      <x:c r="O48" s="3"/>
      <x:c r="P48" s="3" t="s">
        <x:v>49</x:v>
      </x:c>
      <x:c r="Q48" s="3" t="s">
        <x:v>269</x:v>
      </x:c>
      <x:c r="R48" s="3" t="s">
        <x:v>156</x:v>
      </x:c>
      <x:c r="S48" s="3" t="s">
        <x:v>157</x:v>
      </x:c>
      <x:c r="T48" s="3" t="s">
        <x:v>158</x:v>
      </x:c>
      <x:c r="U48" s="3" t="s">
        <x:v>180</x:v>
      </x:c>
      <x:c r="V48" s="3" t="s">
        <x:v>270</x:v>
      </x:c>
      <x:c r="W48" s="3" t="n">
        <x:v>15.4</x:v>
      </x:c>
      <x:c r="X48" s="3" t="n">
        <x:f aca="0">IF(ISNUMBER(W48),W48*3.412142,"")</x:f>
        <x:v>52.5469868</x:v>
      </x:c>
      <x:c r="Y48" s="3" t="s">
        <x:v>271</x:v>
      </x:c>
      <x:c r="Z48" s="4" t="s">
        <x:v>272</x:v>
      </x:c>
      <x:c r="AA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</x:row>
    <x:row r="49" s="2" customFormat="1" ht="15.75" hidden="0" customHeight="1">
      <x:c r="A49" s="1" t="s">
        <x:v>252</x:v>
      </x:c>
      <x:c r="B49" s="1" t="s">
        <x:v>27</x:v>
      </x:c>
      <x:c r="C49" s="1" t="s">
        <x:v>273</x:v>
      </x:c>
      <x:c r="D49" s="1" t="s">
        <x:v>274</x:v>
      </x:c>
      <x:c r="E49" s="1" t="n">
        <x:v>3230</x:v>
      </x:c>
      <x:c r="F49" s="1"/>
      <x:c r="G49" s="1"/>
      <x:c r="H49" s="1"/>
      <x:c r="I49" s="1"/>
      <x:c r="J49" s="13" t="s">
        <x:v>255</x:v>
      </x:c>
      <x:c r="K49" s="1" t="s">
        <x:v>275</x:v>
      </x:c>
      <x:c r="L49" s="3" t="s">
        <x:v>267</x:v>
      </x:c>
      <x:c r="M49" s="3" t="s">
        <x:v>276</x:v>
      </x:c>
      <x:c r="N49" s="3" t="s">
        <x:v>266</x:v>
      </x:c>
      <x:c r="O49" s="3"/>
      <x:c r="P49" s="3" t="s">
        <x:v>113</x:v>
      </x:c>
      <x:c r="Q49" s="3" t="s">
        <x:v>269</x:v>
      </x:c>
      <x:c r="R49" s="3" t="s">
        <x:v>156</x:v>
      </x:c>
      <x:c r="S49" s="3" t="s">
        <x:v>157</x:v>
      </x:c>
      <x:c r="T49" s="3" t="s">
        <x:v>158</x:v>
      </x:c>
      <x:c r="U49" s="3" t="s">
        <x:v>180</x:v>
      </x:c>
      <x:c r="V49" s="3" t="s">
        <x:v>181</x:v>
      </x:c>
      <x:c r="W49" s="3" t="n">
        <x:v>25.5</x:v>
      </x:c>
      <x:c r="X49" s="3" t="n">
        <x:f aca="0">IF(ISNUMBER(W49),W49*3.412142,"")</x:f>
        <x:v>87.009621</x:v>
      </x:c>
      <x:c r="Y49" s="3" t="s">
        <x:v>277</x:v>
      </x:c>
      <x:c r="Z49" s="4" t="s">
        <x:v>278</x:v>
      </x:c>
      <x:c r="AA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</x:row>
    <x:row r="50" s="2" customFormat="1" ht="15.75" hidden="0" customHeight="1">
      <x:c r="A50" s="1" t="s">
        <x:v>252</x:v>
      </x:c>
      <x:c r="B50" s="1" t="s">
        <x:v>27</x:v>
      </x:c>
      <x:c r="C50" s="1" t="s">
        <x:v>279</x:v>
      </x:c>
      <x:c r="D50" s="1" t="s">
        <x:v>280</x:v>
      </x:c>
      <x:c r="E50" s="1" t="n">
        <x:v>6060</x:v>
      </x:c>
      <x:c r="F50" s="1"/>
      <x:c r="G50" s="1"/>
      <x:c r="H50" s="1"/>
      <x:c r="I50" s="1"/>
      <x:c r="J50" s="13" t="s">
        <x:v>255</x:v>
      </x:c>
      <x:c r="K50" s="1" t="s">
        <x:v>281</x:v>
      </x:c>
      <x:c r="L50" s="3" t="s">
        <x:v>282</x:v>
      </x:c>
      <x:c r="M50" s="3" t="s">
        <x:v>64</x:v>
      </x:c>
      <x:c r="N50" s="3" t="s">
        <x:v>283</x:v>
      </x:c>
      <x:c r="O50" s="3"/>
      <x:c r="P50" s="3" t="s">
        <x:v>284</x:v>
      </x:c>
      <x:c r="Q50" s="3" t="s">
        <x:v>269</x:v>
      </x:c>
      <x:c r="R50" s="3" t="s">
        <x:v>156</x:v>
      </x:c>
      <x:c r="S50" s="3" t="s">
        <x:v>157</x:v>
      </x:c>
      <x:c r="T50" s="3" t="s">
        <x:v>158</x:v>
      </x:c>
      <x:c r="U50" s="3" t="s">
        <x:v>180</x:v>
      </x:c>
      <x:c r="V50" s="3" t="s">
        <x:v>285</x:v>
      </x:c>
      <x:c r="W50" s="3" t="n">
        <x:v>35</x:v>
      </x:c>
      <x:c r="X50" s="3" t="n">
        <x:f aca="0">IF(ISNUMBER(W50),W50*3.412142,"")</x:f>
        <x:v>119.42496999999999</x:v>
      </x:c>
      <x:c r="Y50" s="3" t="s">
        <x:v>286</x:v>
      </x:c>
      <x:c r="Z50" s="4" t="s">
        <x:v>287</x:v>
      </x:c>
      <x:c r="AA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</x:row>
    <x:row r="51" s="2" customFormat="1" ht="15.75" hidden="0" customHeight="1">
      <x:c r="A51" s="1" t="s">
        <x:v>252</x:v>
      </x:c>
      <x:c r="B51" s="1" t="s">
        <x:v>27</x:v>
      </x:c>
      <x:c r="C51" s="1" t="s">
        <x:v>288</x:v>
      </x:c>
      <x:c r="D51" s="1" t="s">
        <x:v>289</x:v>
      </x:c>
      <x:c r="E51" s="1" t="s">
        <x:v>290</x:v>
      </x:c>
      <x:c r="F51" s="1"/>
      <x:c r="G51" s="1"/>
      <x:c r="H51" s="1"/>
      <x:c r="I51" s="1"/>
      <x:c r="J51" s="13" t="s">
        <x:v>255</x:v>
      </x:c>
      <x:c r="K51" s="1" t="s">
        <x:v>265</x:v>
      </x:c>
      <x:c r="L51" s="3" t="s">
        <x:v>291</x:v>
      </x:c>
      <x:c r="M51" s="3" t="s">
        <x:v>292</x:v>
      </x:c>
      <x:c r="N51" s="3" t="s">
        <x:v>293</x:v>
      </x:c>
      <x:c r="O51" s="3"/>
      <x:c r="P51" s="3" t="s">
        <x:v>132</x:v>
      </x:c>
      <x:c r="Q51" s="3" t="s">
        <x:v>269</x:v>
      </x:c>
      <x:c r="R51" s="3" t="s">
        <x:v>156</x:v>
      </x:c>
      <x:c r="S51" s="3" t="s">
        <x:v>157</x:v>
      </x:c>
      <x:c r="T51" s="3" t="s">
        <x:v>158</x:v>
      </x:c>
      <x:c r="U51" s="3" t="s">
        <x:v>180</x:v>
      </x:c>
      <x:c r="V51" s="3" t="s">
        <x:v>181</x:v>
      </x:c>
      <x:c r="W51" s="3" t="n">
        <x:v>25.5</x:v>
      </x:c>
      <x:c r="X51" s="3" t="n">
        <x:f aca="0">IF(ISNUMBER(W51),W51*3.412142,"")</x:f>
        <x:v>87.009621</x:v>
      </x:c>
      <x:c r="Y51" s="3" t="s">
        <x:v>277</x:v>
      </x:c>
      <x:c r="Z51" s="4" t="s">
        <x:v>294</x:v>
      </x:c>
      <x:c r="AA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</x:row>
    <x:row r="52" s="2" customFormat="1" ht="15.75" hidden="0" customHeight="1">
      <x:c r="A52" s="1" t="s">
        <x:v>252</x:v>
      </x:c>
      <x:c r="B52" s="1" t="s">
        <x:v>27</x:v>
      </x:c>
      <x:c r="C52" s="1" t="s">
        <x:v>295</x:v>
      </x:c>
      <x:c r="D52" s="1" t="s">
        <x:v>296</x:v>
      </x:c>
      <x:c r="E52" s="1" t="n">
        <x:v>2070</x:v>
      </x:c>
      <x:c r="F52" s="1"/>
      <x:c r="G52" s="1"/>
      <x:c r="H52" s="1"/>
      <x:c r="I52" s="1"/>
      <x:c r="J52" s="13" t="s">
        <x:v>255</x:v>
      </x:c>
      <x:c r="K52" s="1" t="s">
        <x:v>265</x:v>
      </x:c>
      <x:c r="L52" s="3" t="s">
        <x:v>297</x:v>
      </x:c>
      <x:c r="M52" s="3" t="s">
        <x:v>298</x:v>
      </x:c>
      <x:c r="N52" s="3" t="s">
        <x:v>62</x:v>
      </x:c>
      <x:c r="O52" s="3"/>
      <x:c r="P52" s="3" t="s">
        <x:v>299</x:v>
      </x:c>
      <x:c r="Q52" s="3" t="s">
        <x:v>269</x:v>
      </x:c>
      <x:c r="R52" s="3" t="s">
        <x:v>156</x:v>
      </x:c>
      <x:c r="S52" s="3" t="s">
        <x:v>157</x:v>
      </x:c>
      <x:c r="T52" s="3" t="s">
        <x:v>158</x:v>
      </x:c>
      <x:c r="U52" s="3" t="s">
        <x:v>180</x:v>
      </x:c>
      <x:c r="V52" s="3" t="s">
        <x:v>270</x:v>
      </x:c>
      <x:c r="W52" s="3" t="n">
        <x:v>15.4</x:v>
      </x:c>
      <x:c r="X52" s="3" t="n">
        <x:f aca="0">IF(ISNUMBER(W52),W52*3.412142,"")</x:f>
        <x:v>52.5469868</x:v>
      </x:c>
      <x:c r="Y52" s="3" t="s">
        <x:v>271</x:v>
      </x:c>
      <x:c r="Z52" s="4" t="s">
        <x:v>300</x:v>
      </x:c>
      <x:c r="AA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</x:row>
    <x:row r="53" s="2" customFormat="1" ht="15.75" hidden="0" customHeight="1">
      <x:c r="A53" s="1" t="s">
        <x:v>252</x:v>
      </x:c>
      <x:c r="B53" s="1" t="s">
        <x:v>27</x:v>
      </x:c>
      <x:c r="C53" s="1" t="s">
        <x:v>301</x:v>
      </x:c>
      <x:c r="D53" s="1" t="s">
        <x:v>302</x:v>
      </x:c>
      <x:c r="E53" s="1" t="n">
        <x:v>1040</x:v>
      </x:c>
      <x:c r="F53" s="1"/>
      <x:c r="G53" s="1"/>
      <x:c r="H53" s="1"/>
      <x:c r="I53" s="1"/>
      <x:c r="J53" s="13" t="s">
        <x:v>255</x:v>
      </x:c>
      <x:c r="K53" s="1" t="s">
        <x:v>303</x:v>
      </x:c>
      <x:c r="L53" s="3" t="s">
        <x:v>151</x:v>
      </x:c>
      <x:c r="M53" s="3" t="s">
        <x:v>304</x:v>
      </x:c>
      <x:c r="N53" s="3" t="s">
        <x:v>305</x:v>
      </x:c>
      <x:c r="O53" s="3"/>
      <x:c r="P53" s="3" t="s">
        <x:v>306</x:v>
      </x:c>
      <x:c r="Q53" s="3" t="s">
        <x:v>307</x:v>
      </x:c>
      <x:c r="R53" s="3" t="s">
        <x:v>156</x:v>
      </x:c>
      <x:c r="S53" s="3" t="s">
        <x:v>157</x:v>
      </x:c>
      <x:c r="T53" s="3" t="s">
        <x:v>158</x:v>
      </x:c>
      <x:c r="U53" s="3" t="s">
        <x:v>180</x:v>
      </x:c>
      <x:c r="V53" s="3" t="s">
        <x:v>308</x:v>
      </x:c>
      <x:c r="W53" s="3" t="n">
        <x:v>13</x:v>
      </x:c>
      <x:c r="X53" s="3" t="n">
        <x:f aca="0">IF(ISNUMBER(W53),W53*3.412142,"")</x:f>
        <x:v>44.357845999999995</x:v>
      </x:c>
      <x:c r="Y53" s="3" t="s">
        <x:v>271</x:v>
      </x:c>
      <x:c r="Z53" s="4"/>
      <x:c r="AA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</x:row>
    <x:row r="54" s="2" customFormat="1" ht="15.75" hidden="0" customHeight="1">
      <x:c r="A54" s="1" t="s">
        <x:v>309</x:v>
      </x:c>
      <x:c r="B54" s="1" t="s">
        <x:v>27</x:v>
      </x:c>
      <x:c r="C54" s="1" t="s">
        <x:v>310</x:v>
      </x:c>
      <x:c r="D54" s="1" t="s">
        <x:v>311</x:v>
      </x:c>
      <x:c r="E54" s="1" t="n">
        <x:v>630</x:v>
      </x:c>
      <x:c r="F54" s="1"/>
      <x:c r="G54" s="1"/>
      <x:c r="H54" s="1"/>
      <x:c r="I54" s="1"/>
      <x:c r="J54" s="14" t="s">
        <x:v>312</x:v>
      </x:c>
      <x:c r="K54" s="1" t="s">
        <x:v>313</x:v>
      </x:c>
      <x:c r="L54" s="3" t="s">
        <x:v>314</x:v>
      </x:c>
      <x:c r="M54" s="3" t="s">
        <x:v>314</x:v>
      </x:c>
      <x:c r="N54" s="3" t="s">
        <x:v>315</x:v>
      </x:c>
      <x:c r="O54" s="3"/>
      <x:c r="P54" s="3" t="s">
        <x:v>316</x:v>
      </x:c>
      <x:c r="Q54" s="3" t="s">
        <x:v>317</x:v>
      </x:c>
      <x:c r="R54" s="3" t="s">
        <x:v>156</x:v>
      </x:c>
      <x:c r="S54" s="3" t="s">
        <x:v>157</x:v>
      </x:c>
      <x:c r="T54" s="3" t="s">
        <x:v>158</x:v>
      </x:c>
      <x:c r="U54" s="3" t="s">
        <x:v>318</x:v>
      </x:c>
      <x:c r="V54" s="3" t="s">
        <x:v>318</x:v>
      </x:c>
      <x:c r="W54" s="3" t="n">
        <x:v>0</x:v>
      </x:c>
      <x:c r="X54" s="3" t="n">
        <x:f aca="0">IF(ISNUMBER(W54),W54*3.412142,"")</x:f>
        <x:v>0</x:v>
      </x:c>
      <x:c r="Y54" s="3" t="s">
        <x:v>319</x:v>
      </x:c>
      <x:c r="Z54" s="4" t="s">
        <x:v>320</x:v>
      </x:c>
      <x:c r="AA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</x:row>
    <x:row r="55" s="2" customFormat="1" ht="15.75" hidden="0" customHeight="1">
      <x:c r="A55" s="1" t="s">
        <x:v>309</x:v>
      </x:c>
      <x:c r="B55" s="1" t="s">
        <x:v>27</x:v>
      </x:c>
      <x:c r="C55" s="1" t="s">
        <x:v>321</x:v>
      </x:c>
      <x:c r="D55" s="1" t="s">
        <x:v>322</x:v>
      </x:c>
      <x:c r="E55" s="1" t="n">
        <x:v>420</x:v>
      </x:c>
      <x:c r="F55" s="1"/>
      <x:c r="G55" s="1"/>
      <x:c r="H55" s="1"/>
      <x:c r="I55" s="1"/>
      <x:c r="J55" s="14" t="s">
        <x:v>312</x:v>
      </x:c>
      <x:c r="K55" s="1" t="s">
        <x:v>313</x:v>
      </x:c>
      <x:c r="L55" s="3" t="s">
        <x:v>323</x:v>
      </x:c>
      <x:c r="M55" s="3"/>
      <x:c r="N55" s="3"/>
      <x:c r="O55" s="3" t="s">
        <x:v>324</x:v>
      </x:c>
      <x:c r="P55" s="3" t="s">
        <x:v>325</x:v>
      </x:c>
      <x:c r="Q55" s="3" t="s">
        <x:v>317</x:v>
      </x:c>
      <x:c r="R55" s="3" t="s">
        <x:v>156</x:v>
      </x:c>
      <x:c r="S55" s="3" t="s">
        <x:v>157</x:v>
      </x:c>
      <x:c r="T55" s="3" t="s">
        <x:v>158</x:v>
      </x:c>
      <x:c r="U55" s="3" t="s">
        <x:v>318</x:v>
      </x:c>
      <x:c r="V55" s="3" t="s">
        <x:v>318</x:v>
      </x:c>
      <x:c r="W55" s="3" t="n">
        <x:v>0</x:v>
      </x:c>
      <x:c r="X55" s="3" t="n">
        <x:f aca="0">IF(ISNUMBER(W55),W55*3.412142,"")</x:f>
        <x:v>0</x:v>
      </x:c>
      <x:c r="Y55" s="3" t="s">
        <x:v>319</x:v>
      </x:c>
      <x:c r="Z55" s="4" t="s">
        <x:v>326</x:v>
      </x:c>
      <x:c r="AA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</x:row>
    <x:row r="56" s="2" customFormat="1" ht="15.75" hidden="0" customHeight="1">
      <x:c r="A56" s="1" t="s">
        <x:v>136</x:v>
      </x:c>
      <x:c r="B56" s="1" t="s">
        <x:v>27</x:v>
      </x:c>
      <x:c r="C56" s="1" t="s">
        <x:v>327</x:v>
      </x:c>
      <x:c r="D56" s="1" t="s">
        <x:v>328</x:v>
      </x:c>
      <x:c r="E56" s="1" t="n">
        <x:v>1360</x:v>
      </x:c>
      <x:c r="F56" s="1"/>
      <x:c r="G56" s="1"/>
      <x:c r="H56" s="1"/>
      <x:c r="I56" s="1"/>
      <x:c r="J56" s="8" t="s">
        <x:v>139</x:v>
      </x:c>
      <x:c r="K56" s="1" t="s">
        <x:v>329</x:v>
      </x:c>
      <x:c r="L56" s="3" t="s">
        <x:v>330</x:v>
      </x:c>
      <x:c r="M56" s="3" t="s">
        <x:v>331</x:v>
      </x:c>
      <x:c r="N56" s="3" t="s">
        <x:v>332</x:v>
      </x:c>
      <x:c r="O56" s="3"/>
      <x:c r="P56" s="3" t="s">
        <x:v>333</x:v>
      </x:c>
      <x:c r="Q56" s="3" t="s">
        <x:v>334</x:v>
      </x:c>
      <x:c r="R56" s="3" t="s">
        <x:v>158</x:v>
      </x:c>
      <x:c r="S56" s="3" t="s">
        <x:v>158</x:v>
      </x:c>
      <x:c r="T56" s="3" t="s">
        <x:v>158</x:v>
      </x:c>
      <x:c r="U56" s="3" t="s">
        <x:v>133</x:v>
      </x:c>
      <x:c r="V56" s="3" t="s">
        <x:v>134</x:v>
      </x:c>
      <x:c r="W56" s="3" t="n">
        <x:v>12</x:v>
      </x:c>
      <x:c r="X56" s="3" t="n">
        <x:f aca="0">IF(ISNUMBER(W56),W56*3.412142,"")</x:f>
        <x:v>40.945704</x:v>
      </x:c>
      <x:c r="Y56" s="3" t="s">
        <x:v>141</x:v>
      </x:c>
      <x:c r="Z56" s="4" t="s">
        <x:v>335</x:v>
      </x:c>
      <x:c r="AA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</x:row>
    <x:row r="57" s="2" customFormat="1" ht="15.75" hidden="0" customHeight="1">
      <x:c r="A57" s="1" t="s">
        <x:v>136</x:v>
      </x:c>
      <x:c r="B57" s="1" t="s">
        <x:v>27</x:v>
      </x:c>
      <x:c r="C57" s="1" t="s">
        <x:v>336</x:v>
      </x:c>
      <x:c r="D57" s="1" t="s">
        <x:v>337</x:v>
      </x:c>
      <x:c r="E57" s="1" t="n">
        <x:v>1780</x:v>
      </x:c>
      <x:c r="F57" s="1"/>
      <x:c r="G57" s="1"/>
      <x:c r="H57" s="1"/>
      <x:c r="I57" s="1"/>
      <x:c r="J57" s="8" t="s">
        <x:v>139</x:v>
      </x:c>
      <x:c r="K57" s="1" t="s">
        <x:v>338</x:v>
      </x:c>
      <x:c r="L57" s="3" t="s">
        <x:v>339</x:v>
      </x:c>
      <x:c r="M57" s="3" t="s">
        <x:v>340</x:v>
      </x:c>
      <x:c r="N57" s="3" t="s">
        <x:v>341</x:v>
      </x:c>
      <x:c r="O57" s="3"/>
      <x:c r="P57" s="3" t="s">
        <x:v>342</x:v>
      </x:c>
      <x:c r="Q57" s="3" t="s">
        <x:v>343</x:v>
      </x:c>
      <x:c r="R57" s="3" t="s">
        <x:v>158</x:v>
      </x:c>
      <x:c r="S57" s="3" t="s">
        <x:v>158</x:v>
      </x:c>
      <x:c r="T57" s="3" t="s">
        <x:v>158</x:v>
      </x:c>
      <x:c r="U57" s="3" t="s">
        <x:v>344</x:v>
      </x:c>
      <x:c r="V57" s="3" t="s">
        <x:v>270</x:v>
      </x:c>
      <x:c r="W57" s="3" t="n">
        <x:v>15</x:v>
      </x:c>
      <x:c r="X57" s="3" t="n">
        <x:f aca="0">IF(ISNUMBER(W57),W57*3.412142,"")</x:f>
        <x:v>51.182129999999994</x:v>
      </x:c>
      <x:c r="Y57" s="3" t="s">
        <x:v>345</x:v>
      </x:c>
      <x:c r="Z57" s="4"/>
      <x:c r="AA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</x:row>
    <x:row r="58" s="2" customFormat="1" ht="15.75" hidden="0" customHeight="1">
      <x:c r="A58" s="1" t="s">
        <x:v>136</x:v>
      </x:c>
      <x:c r="B58" s="1" t="s">
        <x:v>27</x:v>
      </x:c>
      <x:c r="C58" s="1" t="s">
        <x:v>346</x:v>
      </x:c>
      <x:c r="D58" s="1" t="s">
        <x:v>347</x:v>
      </x:c>
      <x:c r="E58" s="1" t="n">
        <x:v>2300</x:v>
      </x:c>
      <x:c r="F58" s="1"/>
      <x:c r="G58" s="1"/>
      <x:c r="H58" s="1"/>
      <x:c r="I58" s="1"/>
      <x:c r="J58" s="8" t="s">
        <x:v>139</x:v>
      </x:c>
      <x:c r="K58" s="1" t="s">
        <x:v>348</x:v>
      </x:c>
      <x:c r="L58" s="3" t="s">
        <x:v>349</x:v>
      </x:c>
      <x:c r="M58" s="3" t="s">
        <x:v>350</x:v>
      </x:c>
      <x:c r="N58" s="3" t="s">
        <x:v>351</x:v>
      </x:c>
      <x:c r="O58" s="3"/>
      <x:c r="P58" s="3" t="s">
        <x:v>352</x:v>
      </x:c>
      <x:c r="Q58" s="3" t="s">
        <x:v>36</x:v>
      </x:c>
      <x:c r="R58" s="3" t="s">
        <x:v>353</x:v>
      </x:c>
      <x:c r="S58" s="3" t="s">
        <x:v>354</x:v>
      </x:c>
      <x:c r="T58" s="3" t="s">
        <x:v>39</x:v>
      </x:c>
      <x:c r="U58" s="3" t="s">
        <x:v>133</x:v>
      </x:c>
      <x:c r="V58" s="3" t="s">
        <x:v>134</x:v>
      </x:c>
      <x:c r="W58" s="3" t="n">
        <x:v>12</x:v>
      </x:c>
      <x:c r="X58" s="3" t="n">
        <x:f aca="0">IF(ISNUMBER(W58),W58*3.412142,"")</x:f>
        <x:v>40.945704</x:v>
      </x:c>
      <x:c r="Y58" s="3" t="s">
        <x:v>141</x:v>
      </x:c>
      <x:c r="Z58" s="4"/>
      <x:c r="AA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</x:row>
    <x:row r="59" s="2" customFormat="1" ht="15.75" hidden="0" customHeight="1">
      <x:c r="A59" s="1" t="s">
        <x:v>136</x:v>
      </x:c>
      <x:c r="B59" s="1" t="s">
        <x:v>27</x:v>
      </x:c>
      <x:c r="C59" s="1" t="s">
        <x:v>355</x:v>
      </x:c>
      <x:c r="D59" s="1" t="s">
        <x:v>356</x:v>
      </x:c>
      <x:c r="E59" s="1" t="n">
        <x:v>1670</x:v>
      </x:c>
      <x:c r="F59" s="1"/>
      <x:c r="G59" s="1"/>
      <x:c r="H59" s="1"/>
      <x:c r="I59" s="1"/>
      <x:c r="J59" s="8" t="s">
        <x:v>139</x:v>
      </x:c>
      <x:c r="K59" s="1" t="s">
        <x:v>357</x:v>
      </x:c>
      <x:c r="L59" s="3" t="s">
        <x:v>330</x:v>
      </x:c>
      <x:c r="M59" s="3" t="s">
        <x:v>331</x:v>
      </x:c>
      <x:c r="N59" s="3" t="s">
        <x:v>332</x:v>
      </x:c>
      <x:c r="O59" s="3"/>
      <x:c r="P59" s="3" t="s">
        <x:v>358</x:v>
      </x:c>
      <x:c r="Q59" s="3" t="s">
        <x:v>334</x:v>
      </x:c>
      <x:c r="R59" s="3" t="s">
        <x:v>158</x:v>
      </x:c>
      <x:c r="S59" s="3" t="s">
        <x:v>158</x:v>
      </x:c>
      <x:c r="T59" s="3" t="s">
        <x:v>158</x:v>
      </x:c>
      <x:c r="U59" s="3" t="s">
        <x:v>133</x:v>
      </x:c>
      <x:c r="V59" s="3" t="s">
        <x:v>134</x:v>
      </x:c>
      <x:c r="W59" s="3" t="n">
        <x:v>12</x:v>
      </x:c>
      <x:c r="X59" s="3" t="n">
        <x:f aca="0">IF(ISNUMBER(W59),W59*3.412142,"")</x:f>
        <x:v>40.945704</x:v>
      </x:c>
      <x:c r="Y59" s="3" t="s">
        <x:v>141</x:v>
      </x:c>
      <x:c r="Z59" s="4" t="s">
        <x:v>359</x:v>
      </x:c>
      <x:c r="AA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</x:row>
    <x:row r="60" s="2" customFormat="1" ht="15.75" hidden="0" customHeight="1">
      <x:c r="A60" s="1" t="s">
        <x:v>143</x:v>
      </x:c>
      <x:c r="B60" s="1" t="s">
        <x:v>27</x:v>
      </x:c>
      <x:c r="C60" s="1" t="s">
        <x:v>360</x:v>
      </x:c>
      <x:c r="D60" s="1" t="s">
        <x:v>361</x:v>
      </x:c>
      <x:c r="E60" s="1" t="s">
        <x:v>362</x:v>
      </x:c>
      <x:c r="F60" s="1"/>
      <x:c r="G60" s="1"/>
      <x:c r="H60" s="1"/>
      <x:c r="I60" s="1"/>
      <x:c r="J60" s="9" t="s">
        <x:v>146</x:v>
      </x:c>
      <x:c r="K60" s="1" t="s">
        <x:v>171</x:v>
      </x:c>
      <x:c r="L60" s="3" t="s">
        <x:v>363</x:v>
      </x:c>
      <x:c r="M60" s="3" t="s">
        <x:v>350</x:v>
      </x:c>
      <x:c r="N60" s="3" t="s">
        <x:v>364</x:v>
      </x:c>
      <x:c r="O60" s="3"/>
      <x:c r="P60" s="3" t="s">
        <x:v>365</x:v>
      </x:c>
      <x:c r="Q60" s="3" t="s">
        <x:v>36</x:v>
      </x:c>
      <x:c r="R60" s="3" t="s">
        <x:v>353</x:v>
      </x:c>
      <x:c r="S60" s="3" t="s">
        <x:v>354</x:v>
      </x:c>
      <x:c r="T60" s="3" t="s">
        <x:v>39</x:v>
      </x:c>
      <x:c r="U60" s="3" t="s">
        <x:v>133</x:v>
      </x:c>
      <x:c r="V60" s="3" t="s">
        <x:v>134</x:v>
      </x:c>
      <x:c r="W60" s="3" t="n">
        <x:v>12</x:v>
      </x:c>
      <x:c r="X60" s="3" t="n">
        <x:f aca="0">IF(ISNUMBER(W60),W60*3.412142,"")</x:f>
        <x:v>40.945704</x:v>
      </x:c>
      <x:c r="Y60" s="3" t="s">
        <x:v>141</x:v>
      </x:c>
      <x:c r="Z60" s="4" t="s">
        <x:v>366</x:v>
      </x:c>
      <x:c r="AA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</x:row>
    <x:row r="61" s="2" customFormat="1" ht="15.75" hidden="0" customHeight="1">
      <x:c r="A61" s="1" t="s">
        <x:v>136</x:v>
      </x:c>
      <x:c r="B61" s="1" t="s">
        <x:v>27</x:v>
      </x:c>
      <x:c r="C61" s="1" t="s">
        <x:v>367</x:v>
      </x:c>
      <x:c r="D61" s="1" t="s">
        <x:v>368</x:v>
      </x:c>
      <x:c r="E61" s="1" t="n">
        <x:v>920</x:v>
      </x:c>
      <x:c r="F61" s="1"/>
      <x:c r="G61" s="1"/>
      <x:c r="H61" s="1"/>
      <x:c r="I61" s="1"/>
      <x:c r="J61" s="8" t="s">
        <x:v>139</x:v>
      </x:c>
      <x:c r="K61" s="1" t="s">
        <x:v>369</x:v>
      </x:c>
      <x:c r="L61" s="3" t="s">
        <x:v>363</x:v>
      </x:c>
      <x:c r="M61" s="3" t="s">
        <x:v>370</x:v>
      </x:c>
      <x:c r="N61" s="3" t="s">
        <x:v>364</x:v>
      </x:c>
      <x:c r="O61" s="3"/>
      <x:c r="P61" s="3" t="s">
        <x:v>371</x:v>
      </x:c>
      <x:c r="Q61" s="3" t="s">
        <x:v>36</x:v>
      </x:c>
      <x:c r="R61" s="3" t="s">
        <x:v>353</x:v>
      </x:c>
      <x:c r="S61" s="3" t="s">
        <x:v>354</x:v>
      </x:c>
      <x:c r="T61" s="3" t="s">
        <x:v>39</x:v>
      </x:c>
      <x:c r="U61" s="3" t="s">
        <x:v>133</x:v>
      </x:c>
      <x:c r="V61" s="3" t="s">
        <x:v>134</x:v>
      </x:c>
      <x:c r="W61" s="3" t="n">
        <x:v>12</x:v>
      </x:c>
      <x:c r="X61" s="3" t="n">
        <x:f aca="0">IF(ISNUMBER(W61),W61*3.412142,"")</x:f>
        <x:v>40.945704</x:v>
      </x:c>
      <x:c r="Y61" s="3" t="s">
        <x:v>141</x:v>
      </x:c>
      <x:c r="Z61" s="4" t="s">
        <x:v>372</x:v>
      </x:c>
      <x:c r="AA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</x:row>
    <x:row r="62" s="2" customFormat="1" ht="15.75" hidden="0" customHeight="1">
      <x:c r="A62" s="1" t="s">
        <x:v>136</x:v>
      </x:c>
      <x:c r="B62" s="1" t="s">
        <x:v>27</x:v>
      </x:c>
      <x:c r="C62" s="1" t="s">
        <x:v>373</x:v>
      </x:c>
      <x:c r="D62" s="1" t="s">
        <x:v>374</x:v>
      </x:c>
      <x:c r="E62" s="1" t="n">
        <x:v>2180</x:v>
      </x:c>
      <x:c r="F62" s="1"/>
      <x:c r="G62" s="1"/>
      <x:c r="H62" s="1"/>
      <x:c r="I62" s="1"/>
      <x:c r="J62" s="8" t="s">
        <x:v>139</x:v>
      </x:c>
      <x:c r="K62" s="1" t="s">
        <x:v>375</x:v>
      </x:c>
      <x:c r="L62" s="3" t="s">
        <x:v>363</x:v>
      </x:c>
      <x:c r="M62" s="3" t="s">
        <x:v>350</x:v>
      </x:c>
      <x:c r="N62" s="3" t="s">
        <x:v>364</x:v>
      </x:c>
      <x:c r="O62" s="3"/>
      <x:c r="P62" s="3" t="s">
        <x:v>132</x:v>
      </x:c>
      <x:c r="Q62" s="3" t="s">
        <x:v>36</x:v>
      </x:c>
      <x:c r="R62" s="3" t="s">
        <x:v>353</x:v>
      </x:c>
      <x:c r="S62" s="3" t="s">
        <x:v>354</x:v>
      </x:c>
      <x:c r="T62" s="3" t="s">
        <x:v>39</x:v>
      </x:c>
      <x:c r="U62" s="3" t="s">
        <x:v>133</x:v>
      </x:c>
      <x:c r="V62" s="3" t="s">
        <x:v>134</x:v>
      </x:c>
      <x:c r="W62" s="3" t="n">
        <x:v>12</x:v>
      </x:c>
      <x:c r="X62" s="3" t="n">
        <x:f aca="0">IF(ISNUMBER(W62),W62*3.412142,"")</x:f>
        <x:v>40.945704</x:v>
      </x:c>
      <x:c r="Y62" s="3" t="s">
        <x:v>141</x:v>
      </x:c>
      <x:c r="Z62" s="4"/>
      <x:c r="AA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</x:row>
    <x:row r="63" s="2" customFormat="1" ht="15.75" hidden="0" customHeight="1">
      <x:c r="A63" s="1" t="s">
        <x:v>136</x:v>
      </x:c>
      <x:c r="B63" s="1" t="s">
        <x:v>27</x:v>
      </x:c>
      <x:c r="C63" s="1" t="s">
        <x:v>376</x:v>
      </x:c>
      <x:c r="D63" s="1" t="s">
        <x:v>377</x:v>
      </x:c>
      <x:c r="E63" s="1" t="n">
        <x:v>1690</x:v>
      </x:c>
      <x:c r="F63" s="1"/>
      <x:c r="G63" s="1"/>
      <x:c r="H63" s="1"/>
      <x:c r="I63" s="1"/>
      <x:c r="J63" s="8" t="s">
        <x:v>139</x:v>
      </x:c>
      <x:c r="K63" s="1" t="s">
        <x:v>378</x:v>
      </x:c>
      <x:c r="L63" s="3" t="s">
        <x:v>331</x:v>
      </x:c>
      <x:c r="M63" s="3" t="s">
        <x:v>350</x:v>
      </x:c>
      <x:c r="N63" s="3" t="s">
        <x:v>379</x:v>
      </x:c>
      <x:c r="O63" s="3"/>
      <x:c r="P63" s="3" t="s">
        <x:v>380</x:v>
      </x:c>
      <x:c r="Q63" s="3" t="s">
        <x:v>36</x:v>
      </x:c>
      <x:c r="R63" s="3" t="s">
        <x:v>353</x:v>
      </x:c>
      <x:c r="S63" s="3" t="s">
        <x:v>354</x:v>
      </x:c>
      <x:c r="T63" s="3" t="s">
        <x:v>39</x:v>
      </x:c>
      <x:c r="U63" s="3" t="s">
        <x:v>133</x:v>
      </x:c>
      <x:c r="V63" s="3" t="s">
        <x:v>134</x:v>
      </x:c>
      <x:c r="W63" s="3" t="n">
        <x:v>12</x:v>
      </x:c>
      <x:c r="X63" s="3" t="n">
        <x:f aca="0">IF(ISNUMBER(W63),W63*3.412142,"")</x:f>
        <x:v>40.945704</x:v>
      </x:c>
      <x:c r="Y63" s="3" t="s">
        <x:v>141</x:v>
      </x:c>
      <x:c r="Z63" s="4"/>
      <x:c r="AA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</x:row>
    <x:row r="64" s="2" customFormat="1" ht="15.75" hidden="0" customHeight="1">
      <x:c r="A64" s="1" t="s">
        <x:v>136</x:v>
      </x:c>
      <x:c r="B64" s="1" t="s">
        <x:v>27</x:v>
      </x:c>
      <x:c r="C64" s="1" t="s">
        <x:v>381</x:v>
      </x:c>
      <x:c r="D64" s="1" t="s">
        <x:v>382</x:v>
      </x:c>
      <x:c r="E64" s="1" t="n">
        <x:v>2180</x:v>
      </x:c>
      <x:c r="F64" s="1"/>
      <x:c r="G64" s="1"/>
      <x:c r="H64" s="1"/>
      <x:c r="I64" s="1"/>
      <x:c r="J64" s="8" t="s">
        <x:v>139</x:v>
      </x:c>
      <x:c r="K64" s="1" t="s">
        <x:v>383</x:v>
      </x:c>
      <x:c r="L64" s="3" t="s">
        <x:v>363</x:v>
      </x:c>
      <x:c r="M64" s="3" t="s">
        <x:v>350</x:v>
      </x:c>
      <x:c r="N64" s="3" t="s">
        <x:v>364</x:v>
      </x:c>
      <x:c r="O64" s="3"/>
      <x:c r="P64" s="3" t="s">
        <x:v>384</x:v>
      </x:c>
      <x:c r="Q64" s="3" t="s">
        <x:v>36</x:v>
      </x:c>
      <x:c r="R64" s="3" t="s">
        <x:v>353</x:v>
      </x:c>
      <x:c r="S64" s="3" t="s">
        <x:v>354</x:v>
      </x:c>
      <x:c r="T64" s="3" t="s">
        <x:v>39</x:v>
      </x:c>
      <x:c r="U64" s="3" t="s">
        <x:v>133</x:v>
      </x:c>
      <x:c r="V64" s="3" t="s">
        <x:v>134</x:v>
      </x:c>
      <x:c r="W64" s="3" t="n">
        <x:v>12</x:v>
      </x:c>
      <x:c r="X64" s="3" t="n">
        <x:f aca="0">IF(ISNUMBER(W64),W64*3.412142,"")</x:f>
        <x:v>40.945704</x:v>
      </x:c>
      <x:c r="Y64" s="3" t="s">
        <x:v>141</x:v>
      </x:c>
      <x:c r="Z64" s="4"/>
      <x:c r="AA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</x:row>
    <x:row r="65" s="2" customFormat="1" ht="15.75" hidden="0" customHeight="1">
      <x:c r="A65" s="1" t="s">
        <x:v>143</x:v>
      </x:c>
      <x:c r="B65" s="1" t="s">
        <x:v>27</x:v>
      </x:c>
      <x:c r="C65" s="1" t="s">
        <x:v>385</x:v>
      </x:c>
      <x:c r="D65" s="1" t="s">
        <x:v>386</x:v>
      </x:c>
      <x:c r="E65" s="1" t="n">
        <x:v>930</x:v>
      </x:c>
      <x:c r="F65" s="1"/>
      <x:c r="G65" s="1"/>
      <x:c r="H65" s="1"/>
      <x:c r="I65" s="1"/>
      <x:c r="J65" s="9" t="s">
        <x:v>146</x:v>
      </x:c>
      <x:c r="K65" s="1" t="s">
        <x:v>387</x:v>
      </x:c>
      <x:c r="L65" s="3" t="s">
        <x:v>363</x:v>
      </x:c>
      <x:c r="M65" s="3" t="s">
        <x:v>370</x:v>
      </x:c>
      <x:c r="N65" s="3" t="s">
        <x:v>364</x:v>
      </x:c>
      <x:c r="O65" s="3"/>
      <x:c r="P65" s="3" t="s">
        <x:v>371</x:v>
      </x:c>
      <x:c r="Q65" s="3" t="s">
        <x:v>36</x:v>
      </x:c>
      <x:c r="R65" s="3" t="s">
        <x:v>353</x:v>
      </x:c>
      <x:c r="S65" s="3" t="s">
        <x:v>354</x:v>
      </x:c>
      <x:c r="T65" s="3" t="s">
        <x:v>39</x:v>
      </x:c>
      <x:c r="U65" s="3" t="s">
        <x:v>133</x:v>
      </x:c>
      <x:c r="V65" s="3" t="s">
        <x:v>134</x:v>
      </x:c>
      <x:c r="W65" s="3" t="n">
        <x:v>12</x:v>
      </x:c>
      <x:c r="X65" s="3" t="n">
        <x:f aca="0">IF(ISNUMBER(W65),W65*3.412142,"")</x:f>
        <x:v>40.945704</x:v>
      </x:c>
      <x:c r="Y65" s="3" t="s">
        <x:v>141</x:v>
      </x:c>
      <x:c r="Z65" s="4" t="s">
        <x:v>388</x:v>
      </x:c>
      <x:c r="AA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</x:row>
    <x:row r="66" s="2" customFormat="1" ht="15.75" hidden="0" customHeight="1">
      <x:c r="A66" s="1" t="s">
        <x:v>143</x:v>
      </x:c>
      <x:c r="B66" s="1" t="s">
        <x:v>27</x:v>
      </x:c>
      <x:c r="C66" s="1" t="s">
        <x:v>389</x:v>
      </x:c>
      <x:c r="D66" s="1" t="s">
        <x:v>390</x:v>
      </x:c>
      <x:c r="E66" s="1" t="n">
        <x:v>2180</x:v>
      </x:c>
      <x:c r="F66" s="1"/>
      <x:c r="G66" s="1"/>
      <x:c r="H66" s="1"/>
      <x:c r="I66" s="1"/>
      <x:c r="J66" s="9" t="s">
        <x:v>146</x:v>
      </x:c>
      <x:c r="K66" s="1" t="s">
        <x:v>391</x:v>
      </x:c>
      <x:c r="L66" s="3" t="s">
        <x:v>363</x:v>
      </x:c>
      <x:c r="M66" s="3" t="s">
        <x:v>392</x:v>
      </x:c>
      <x:c r="N66" s="3" t="s">
        <x:v>364</x:v>
      </x:c>
      <x:c r="O66" s="3"/>
      <x:c r="P66" s="3" t="s">
        <x:v>393</x:v>
      </x:c>
      <x:c r="Q66" s="3" t="s">
        <x:v>36</x:v>
      </x:c>
      <x:c r="R66" s="3" t="s">
        <x:v>353</x:v>
      </x:c>
      <x:c r="S66" s="3" t="s">
        <x:v>354</x:v>
      </x:c>
      <x:c r="T66" s="3" t="s">
        <x:v>39</x:v>
      </x:c>
      <x:c r="U66" s="3" t="s">
        <x:v>133</x:v>
      </x:c>
      <x:c r="V66" s="3" t="s">
        <x:v>134</x:v>
      </x:c>
      <x:c r="W66" s="3" t="n">
        <x:v>12</x:v>
      </x:c>
      <x:c r="X66" s="3" t="n">
        <x:f aca="0">IF(ISNUMBER(W66),W66*3.412142,"")</x:f>
        <x:v>40.945704</x:v>
      </x:c>
      <x:c r="Y66" s="3" t="s">
        <x:v>141</x:v>
      </x:c>
      <x:c r="Z66" s="4"/>
      <x:c r="AA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</x:row>
    <x:row r="67" s="2" customFormat="1" ht="15.75" hidden="0" customHeight="1">
      <x:c r="A67" s="1" t="s">
        <x:v>136</x:v>
      </x:c>
      <x:c r="B67" s="1" t="s">
        <x:v>27</x:v>
      </x:c>
      <x:c r="C67" s="1" t="s">
        <x:v>394</x:v>
      </x:c>
      <x:c r="D67" s="1" t="s">
        <x:v>395</x:v>
      </x:c>
      <x:c r="E67" s="1" t="n">
        <x:v>600</x:v>
      </x:c>
      <x:c r="F67" s="1"/>
      <x:c r="G67" s="1"/>
      <x:c r="H67" s="1"/>
      <x:c r="I67" s="1"/>
      <x:c r="J67" s="8" t="s">
        <x:v>139</x:v>
      </x:c>
      <x:c r="K67" s="1" t="s">
        <x:v>396</x:v>
      </x:c>
      <x:c r="L67" s="3" t="s">
        <x:v>363</x:v>
      </x:c>
      <x:c r="M67" s="3" t="s">
        <x:v>370</x:v>
      </x:c>
      <x:c r="N67" s="3" t="s">
        <x:v>397</x:v>
      </x:c>
      <x:c r="O67" s="3"/>
      <x:c r="P67" s="3" t="s">
        <x:v>158</x:v>
      </x:c>
      <x:c r="Q67" s="3" t="s">
        <x:v>36</x:v>
      </x:c>
      <x:c r="R67" s="3" t="s">
        <x:v>353</x:v>
      </x:c>
      <x:c r="S67" s="3" t="s">
        <x:v>354</x:v>
      </x:c>
      <x:c r="T67" s="3" t="s">
        <x:v>39</x:v>
      </x:c>
      <x:c r="U67" s="3" t="s">
        <x:v>133</x:v>
      </x:c>
      <x:c r="V67" s="3" t="s">
        <x:v>134</x:v>
      </x:c>
      <x:c r="W67" s="3" t="n">
        <x:v>12</x:v>
      </x:c>
      <x:c r="X67" s="3" t="n">
        <x:f aca="0">IF(ISNUMBER(W67),W67*3.412142,"")</x:f>
        <x:v>40.945704</x:v>
      </x:c>
      <x:c r="Y67" s="3" t="s">
        <x:v>141</x:v>
      </x:c>
      <x:c r="Z67" s="4"/>
      <x:c r="AA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</x:row>
    <x:row r="68" s="2" customFormat="1" ht="15.75" hidden="0" customHeight="1">
      <x:c r="A68" s="1" t="s">
        <x:v>136</x:v>
      </x:c>
      <x:c r="B68" s="1" t="s">
        <x:v>27</x:v>
      </x:c>
      <x:c r="C68" s="1" t="s">
        <x:v>398</x:v>
      </x:c>
      <x:c r="D68" s="1" t="s">
        <x:v>399</x:v>
      </x:c>
      <x:c r="E68" s="1" t="n">
        <x:v>740</x:v>
      </x:c>
      <x:c r="F68" s="1"/>
      <x:c r="G68" s="1"/>
      <x:c r="H68" s="1"/>
      <x:c r="I68" s="1"/>
      <x:c r="J68" s="8" t="s">
        <x:v>139</x:v>
      </x:c>
      <x:c r="K68" s="1" t="s">
        <x:v>400</x:v>
      </x:c>
      <x:c r="L68" s="3" t="s">
        <x:v>330</x:v>
      </x:c>
      <x:c r="M68" s="3" t="s">
        <x:v>331</x:v>
      </x:c>
      <x:c r="N68" s="3" t="s">
        <x:v>332</x:v>
      </x:c>
      <x:c r="O68" s="3"/>
      <x:c r="P68" s="3" t="s">
        <x:v>401</x:v>
      </x:c>
      <x:c r="Q68" s="3" t="s">
        <x:v>334</x:v>
      </x:c>
      <x:c r="R68" s="3" t="s">
        <x:v>158</x:v>
      </x:c>
      <x:c r="S68" s="3" t="s">
        <x:v>158</x:v>
      </x:c>
      <x:c r="T68" s="3" t="s">
        <x:v>158</x:v>
      </x:c>
      <x:c r="U68" s="3" t="s">
        <x:v>344</x:v>
      </x:c>
      <x:c r="V68" s="3" t="s">
        <x:v>270</x:v>
      </x:c>
      <x:c r="W68" s="3" t="n">
        <x:v>15</x:v>
      </x:c>
      <x:c r="X68" s="3" t="n">
        <x:f aca="0">IF(ISNUMBER(W68),W68*3.412142,"")</x:f>
        <x:v>51.182129999999994</x:v>
      </x:c>
      <x:c r="Y68" s="3" t="s">
        <x:v>345</x:v>
      </x:c>
      <x:c r="Z68" s="4" t="s">
        <x:v>402</x:v>
      </x:c>
      <x:c r="AA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</x:row>
    <x:row r="69" s="2" customFormat="1" ht="15.75" hidden="0" customHeight="1">
      <x:c r="A69" s="1" t="s">
        <x:v>136</x:v>
      </x:c>
      <x:c r="B69" s="1" t="s">
        <x:v>27</x:v>
      </x:c>
      <x:c r="C69" s="1" t="s">
        <x:v>403</x:v>
      </x:c>
      <x:c r="D69" s="1" t="s">
        <x:v>404</x:v>
      </x:c>
      <x:c r="E69" s="1" t="n">
        <x:v>1350</x:v>
      </x:c>
      <x:c r="F69" s="1"/>
      <x:c r="G69" s="1"/>
      <x:c r="H69" s="1"/>
      <x:c r="I69" s="1"/>
      <x:c r="J69" s="8" t="s">
        <x:v>139</x:v>
      </x:c>
      <x:c r="K69" s="1" t="s">
        <x:v>405</x:v>
      </x:c>
      <x:c r="L69" s="3" t="s">
        <x:v>406</x:v>
      </x:c>
      <x:c r="M69" s="3" t="s">
        <x:v>407</x:v>
      </x:c>
      <x:c r="N69" s="3" t="s">
        <x:v>408</x:v>
      </x:c>
      <x:c r="O69" s="3"/>
      <x:c r="P69" s="3" t="s">
        <x:v>333</x:v>
      </x:c>
      <x:c r="Q69" s="3" t="s">
        <x:v>334</x:v>
      </x:c>
      <x:c r="R69" s="3" t="s">
        <x:v>158</x:v>
      </x:c>
      <x:c r="S69" s="3" t="s">
        <x:v>158</x:v>
      </x:c>
      <x:c r="T69" s="3" t="s">
        <x:v>158</x:v>
      </x:c>
      <x:c r="U69" s="3" t="s">
        <x:v>344</x:v>
      </x:c>
      <x:c r="V69" s="3" t="s">
        <x:v>270</x:v>
      </x:c>
      <x:c r="W69" s="3" t="n">
        <x:v>15</x:v>
      </x:c>
      <x:c r="X69" s="3" t="n">
        <x:f aca="0">IF(ISNUMBER(W69),W69*3.412142,"")</x:f>
        <x:v>51.182129999999994</x:v>
      </x:c>
      <x:c r="Y69" s="3" t="s">
        <x:v>345</x:v>
      </x:c>
      <x:c r="Z69" s="4" t="s">
        <x:v>409</x:v>
      </x:c>
      <x:c r="AA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</x:row>
    <x:row r="70" s="2" customFormat="1" ht="15.75" hidden="0" customHeight="1">
      <x:c r="A70" s="1" t="s">
        <x:v>136</x:v>
      </x:c>
      <x:c r="B70" s="1" t="s">
        <x:v>27</x:v>
      </x:c>
      <x:c r="C70" s="1" t="s">
        <x:v>410</x:v>
      </x:c>
      <x:c r="D70" s="1" t="s">
        <x:v>411</x:v>
      </x:c>
      <x:c r="E70" s="1" t="n">
        <x:v>3470</x:v>
      </x:c>
      <x:c r="F70" s="1"/>
      <x:c r="G70" s="1"/>
      <x:c r="H70" s="1"/>
      <x:c r="I70" s="1"/>
      <x:c r="J70" s="8" t="s">
        <x:v>139</x:v>
      </x:c>
      <x:c r="K70" s="1" t="s">
        <x:v>412</x:v>
      </x:c>
      <x:c r="L70" s="3" t="s">
        <x:v>349</x:v>
      </x:c>
      <x:c r="M70" s="3" t="s">
        <x:v>413</x:v>
      </x:c>
      <x:c r="N70" s="3" t="s">
        <x:v>414</x:v>
      </x:c>
      <x:c r="O70" s="3"/>
      <x:c r="P70" s="3" t="s">
        <x:v>415</x:v>
      </x:c>
      <x:c r="Q70" s="3" t="s">
        <x:v>66</x:v>
      </x:c>
      <x:c r="R70" s="3" t="s">
        <x:v>67</x:v>
      </x:c>
      <x:c r="S70" s="3" t="s">
        <x:v>353</x:v>
      </x:c>
      <x:c r="T70" s="3" t="s">
        <x:v>39</x:v>
      </x:c>
      <x:c r="U70" s="3" t="s">
        <x:v>40</x:v>
      </x:c>
      <x:c r="V70" s="3" t="s">
        <x:v>416</x:v>
      </x:c>
      <x:c r="W70" s="3" t="n">
        <x:v>80</x:v>
      </x:c>
      <x:c r="X70" s="3" t="n">
        <x:f aca="0">IF(ISNUMBER(W70),W70*3.412142,"")</x:f>
        <x:v>272.97136</x:v>
      </x:c>
      <x:c r="Y70" s="3" t="s">
        <x:v>42</x:v>
      </x:c>
      <x:c r="Z70" s="4" t="s">
        <x:v>417</x:v>
      </x:c>
      <x:c r="AA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</x:row>
    <x:row r="71" s="2" customFormat="1" ht="15.75" hidden="0" customHeight="1">
      <x:c r="A71" s="1" t="s">
        <x:v>136</x:v>
      </x:c>
      <x:c r="B71" s="1" t="s">
        <x:v>27</x:v>
      </x:c>
      <x:c r="C71" s="1" t="s">
        <x:v>418</x:v>
      </x:c>
      <x:c r="D71" s="1" t="s">
        <x:v>419</x:v>
      </x:c>
      <x:c r="E71" s="1" t="n">
        <x:v>1830</x:v>
      </x:c>
      <x:c r="F71" s="1"/>
      <x:c r="G71" s="1"/>
      <x:c r="H71" s="1"/>
      <x:c r="I71" s="1"/>
      <x:c r="J71" s="8" t="s">
        <x:v>139</x:v>
      </x:c>
      <x:c r="K71" s="1" t="s">
        <x:v>420</x:v>
      </x:c>
      <x:c r="L71" s="3" t="s">
        <x:v>151</x:v>
      </x:c>
      <x:c r="M71" s="3" t="s">
        <x:v>152</x:v>
      </x:c>
      <x:c r="N71" s="3" t="s">
        <x:v>153</x:v>
      </x:c>
      <x:c r="O71" s="3"/>
      <x:c r="P71" s="3" t="s">
        <x:v>154</x:v>
      </x:c>
      <x:c r="Q71" s="3" t="s">
        <x:v>155</x:v>
      </x:c>
      <x:c r="R71" s="3" t="s">
        <x:v>156</x:v>
      </x:c>
      <x:c r="S71" s="3" t="s">
        <x:v>157</x:v>
      </x:c>
      <x:c r="T71" s="3" t="s">
        <x:v>158</x:v>
      </x:c>
      <x:c r="U71" s="3" t="s">
        <x:v>344</x:v>
      </x:c>
      <x:c r="V71" s="3" t="s">
        <x:v>270</x:v>
      </x:c>
      <x:c r="W71" s="3" t="n">
        <x:v>15</x:v>
      </x:c>
      <x:c r="X71" s="3" t="n">
        <x:f aca="0">IF(ISNUMBER(W71),W71*3.412142,"")</x:f>
        <x:v>51.182129999999994</x:v>
      </x:c>
      <x:c r="Y71" s="3" t="s">
        <x:v>345</x:v>
      </x:c>
      <x:c r="Z71" s="4"/>
      <x:c r="AA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</x:row>
    <x:row r="72" s="2" customFormat="1" ht="15.75" hidden="0" customHeight="1">
      <x:c r="A72" s="1" t="s">
        <x:v>136</x:v>
      </x:c>
      <x:c r="B72" s="1" t="s">
        <x:v>27</x:v>
      </x:c>
      <x:c r="C72" s="1" t="s">
        <x:v>421</x:v>
      </x:c>
      <x:c r="D72" s="1" t="s">
        <x:v>422</x:v>
      </x:c>
      <x:c r="E72" s="1" t="n">
        <x:v>1710</x:v>
      </x:c>
      <x:c r="F72" s="1"/>
      <x:c r="G72" s="1"/>
      <x:c r="H72" s="1"/>
      <x:c r="I72" s="1"/>
      <x:c r="J72" s="8" t="s">
        <x:v>139</x:v>
      </x:c>
      <x:c r="K72" s="1" t="s">
        <x:v>423</x:v>
      </x:c>
      <x:c r="L72" s="3" t="s">
        <x:v>46</x:v>
      </x:c>
      <x:c r="M72" s="3" t="s">
        <x:v>56</x:v>
      </x:c>
      <x:c r="N72" s="3" t="s">
        <x:v>48</x:v>
      </x:c>
      <x:c r="O72" s="3"/>
      <x:c r="P72" s="3" t="s">
        <x:v>49</x:v>
      </x:c>
      <x:c r="Q72" s="3" t="s">
        <x:v>36</x:v>
      </x:c>
      <x:c r="R72" s="3" t="s">
        <x:v>37</x:v>
      </x:c>
      <x:c r="S72" s="3" t="s">
        <x:v>38</x:v>
      </x:c>
      <x:c r="T72" s="3" t="s">
        <x:v>39</x:v>
      </x:c>
      <x:c r="U72" s="3" t="s">
        <x:v>344</x:v>
      </x:c>
      <x:c r="V72" s="3" t="s">
        <x:v>270</x:v>
      </x:c>
      <x:c r="W72" s="3" t="n">
        <x:v>15</x:v>
      </x:c>
      <x:c r="X72" s="3" t="n">
        <x:f aca="0">IF(ISNUMBER(W72),W72*3.412142,"")</x:f>
        <x:v>51.182129999999994</x:v>
      </x:c>
      <x:c r="Y72" s="3" t="s">
        <x:v>345</x:v>
      </x:c>
      <x:c r="Z72" s="4"/>
      <x:c r="AA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</x:row>
    <x:row r="73" s="2" customFormat="1" ht="15.75" hidden="0" customHeight="1">
      <x:c r="A73" s="1" t="s">
        <x:v>136</x:v>
      </x:c>
      <x:c r="B73" s="1" t="s">
        <x:v>27</x:v>
      </x:c>
      <x:c r="C73" s="1" t="s">
        <x:v>424</x:v>
      </x:c>
      <x:c r="D73" s="1" t="s">
        <x:v>425</x:v>
      </x:c>
      <x:c r="E73" s="1" t="n">
        <x:v>730</x:v>
      </x:c>
      <x:c r="F73" s="1"/>
      <x:c r="G73" s="1"/>
      <x:c r="H73" s="1"/>
      <x:c r="I73" s="1"/>
      <x:c r="J73" s="8" t="s">
        <x:v>139</x:v>
      </x:c>
      <x:c r="K73" s="1" t="s">
        <x:v>400</x:v>
      </x:c>
      <x:c r="L73" s="3" t="s">
        <x:v>426</x:v>
      </x:c>
      <x:c r="M73" s="3" t="s">
        <x:v>426</x:v>
      </x:c>
      <x:c r="N73" s="3" t="s">
        <x:v>153</x:v>
      </x:c>
      <x:c r="O73" s="3"/>
      <x:c r="P73" s="3" t="s">
        <x:v>306</x:v>
      </x:c>
      <x:c r="Q73" s="3" t="s">
        <x:v>155</x:v>
      </x:c>
      <x:c r="R73" s="3" t="s">
        <x:v>156</x:v>
      </x:c>
      <x:c r="S73" s="3" t="s">
        <x:v>157</x:v>
      </x:c>
      <x:c r="T73" s="3" t="s">
        <x:v>158</x:v>
      </x:c>
      <x:c r="U73" s="3" t="s">
        <x:v>344</x:v>
      </x:c>
      <x:c r="V73" s="3" t="s">
        <x:v>270</x:v>
      </x:c>
      <x:c r="W73" s="3" t="n">
        <x:v>15</x:v>
      </x:c>
      <x:c r="X73" s="3" t="n">
        <x:f aca="0">IF(ISNUMBER(W73),W73*3.412142,"")</x:f>
        <x:v>51.182129999999994</x:v>
      </x:c>
      <x:c r="Y73" s="3" t="s">
        <x:v>345</x:v>
      </x:c>
      <x:c r="Z73" s="4"/>
      <x:c r="AA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</x:row>
    <x:row r="74" s="2" customFormat="1" ht="15.75" hidden="0" customHeight="1">
      <x:c r="A74" s="1" t="s">
        <x:v>136</x:v>
      </x:c>
      <x:c r="B74" s="1" t="s">
        <x:v>27</x:v>
      </x:c>
      <x:c r="C74" s="1" t="s">
        <x:v>427</x:v>
      </x:c>
      <x:c r="D74" s="1" t="s">
        <x:v>428</x:v>
      </x:c>
      <x:c r="E74" s="1" t="n">
        <x:v>980</x:v>
      </x:c>
      <x:c r="F74" s="1"/>
      <x:c r="G74" s="1"/>
      <x:c r="H74" s="1"/>
      <x:c r="I74" s="1"/>
      <x:c r="J74" s="8" t="s">
        <x:v>139</x:v>
      </x:c>
      <x:c r="K74" s="1" t="s">
        <x:v>429</x:v>
      </x:c>
      <x:c r="L74" s="3" t="s">
        <x:v>46</x:v>
      </x:c>
      <x:c r="M74" s="3" t="s">
        <x:v>131</x:v>
      </x:c>
      <x:c r="N74" s="3" t="s">
        <x:v>48</x:v>
      </x:c>
      <x:c r="O74" s="3"/>
      <x:c r="P74" s="3" t="s">
        <x:v>132</x:v>
      </x:c>
      <x:c r="Q74" s="3" t="s">
        <x:v>36</x:v>
      </x:c>
      <x:c r="R74" s="3" t="s">
        <x:v>37</x:v>
      </x:c>
      <x:c r="S74" s="3" t="s">
        <x:v>38</x:v>
      </x:c>
      <x:c r="T74" s="3" t="s">
        <x:v>39</x:v>
      </x:c>
      <x:c r="U74" s="3" t="s">
        <x:v>133</x:v>
      </x:c>
      <x:c r="V74" s="3" t="s">
        <x:v>134</x:v>
      </x:c>
      <x:c r="W74" s="3" t="n">
        <x:v>12</x:v>
      </x:c>
      <x:c r="X74" s="3" t="n">
        <x:f aca="0">IF(ISNUMBER(W74),W74*3.412142,"")</x:f>
        <x:v>40.945704</x:v>
      </x:c>
      <x:c r="Y74" s="3" t="s">
        <x:v>141</x:v>
      </x:c>
      <x:c r="Z74" s="4"/>
      <x:c r="AA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</x:row>
    <x:row r="75" s="2" customFormat="1" ht="15.75" hidden="0" customHeight="1">
      <x:c r="A75" s="1" t="s">
        <x:v>136</x:v>
      </x:c>
      <x:c r="B75" s="1" t="s">
        <x:v>27</x:v>
      </x:c>
      <x:c r="C75" s="1" t="s">
        <x:v>430</x:v>
      </x:c>
      <x:c r="D75" s="1" t="s">
        <x:v>425</x:v>
      </x:c>
      <x:c r="E75" s="1" t="n">
        <x:v>730</x:v>
      </x:c>
      <x:c r="F75" s="1"/>
      <x:c r="G75" s="1"/>
      <x:c r="H75" s="1"/>
      <x:c r="I75" s="1"/>
      <x:c r="J75" s="8" t="s">
        <x:v>139</x:v>
      </x:c>
      <x:c r="K75" s="1" t="s">
        <x:v>400</x:v>
      </x:c>
      <x:c r="L75" s="3" t="s">
        <x:v>431</x:v>
      </x:c>
      <x:c r="M75" s="3" t="s">
        <x:v>432</x:v>
      </x:c>
      <x:c r="N75" s="3" t="s">
        <x:v>153</x:v>
      </x:c>
      <x:c r="O75" s="3"/>
      <x:c r="P75" s="3" t="s">
        <x:v>154</x:v>
      </x:c>
      <x:c r="Q75" s="3" t="s">
        <x:v>155</x:v>
      </x:c>
      <x:c r="R75" s="3" t="s">
        <x:v>156</x:v>
      </x:c>
      <x:c r="S75" s="3" t="s">
        <x:v>157</x:v>
      </x:c>
      <x:c r="T75" s="3" t="s">
        <x:v>158</x:v>
      </x:c>
      <x:c r="U75" s="3" t="s">
        <x:v>344</x:v>
      </x:c>
      <x:c r="V75" s="3" t="s">
        <x:v>270</x:v>
      </x:c>
      <x:c r="W75" s="3" t="n">
        <x:v>15</x:v>
      </x:c>
      <x:c r="X75" s="3" t="n">
        <x:f aca="0">IF(ISNUMBER(W75),W75*3.412142,"")</x:f>
        <x:v>51.182129999999994</x:v>
      </x:c>
      <x:c r="Y75" s="3" t="s">
        <x:v>345</x:v>
      </x:c>
      <x:c r="Z75" s="4" t="s">
        <x:v>433</x:v>
      </x:c>
      <x:c r="AA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</x:row>
    <x:row r="76" s="2" customFormat="1" ht="15.75" hidden="0" customHeight="1">
      <x:c r="A76" s="1" t="s">
        <x:v>136</x:v>
      </x:c>
      <x:c r="B76" s="1" t="s">
        <x:v>27</x:v>
      </x:c>
      <x:c r="C76" s="1" t="s">
        <x:v>434</x:v>
      </x:c>
      <x:c r="D76" s="1" t="s">
        <x:v>435</x:v>
      </x:c>
      <x:c r="E76" s="1" t="n">
        <x:v>2060</x:v>
      </x:c>
      <x:c r="F76" s="1"/>
      <x:c r="G76" s="1"/>
      <x:c r="H76" s="1"/>
      <x:c r="I76" s="1"/>
      <x:c r="J76" s="8" t="s">
        <x:v>139</x:v>
      </x:c>
      <x:c r="K76" s="1" t="s">
        <x:v>436</x:v>
      </x:c>
      <x:c r="L76" s="3" t="s">
        <x:v>426</x:v>
      </x:c>
      <x:c r="M76" s="3" t="s">
        <x:v>426</x:v>
      </x:c>
      <x:c r="N76" s="3" t="s">
        <x:v>153</x:v>
      </x:c>
      <x:c r="O76" s="3"/>
      <x:c r="P76" s="3" t="s">
        <x:v>306</x:v>
      </x:c>
      <x:c r="Q76" s="3" t="s">
        <x:v>155</x:v>
      </x:c>
      <x:c r="R76" s="3" t="s">
        <x:v>156</x:v>
      </x:c>
      <x:c r="S76" s="3" t="s">
        <x:v>157</x:v>
      </x:c>
      <x:c r="T76" s="3" t="s">
        <x:v>158</x:v>
      </x:c>
      <x:c r="U76" s="3" t="s">
        <x:v>344</x:v>
      </x:c>
      <x:c r="V76" s="3" t="s">
        <x:v>270</x:v>
      </x:c>
      <x:c r="W76" s="3" t="n">
        <x:v>15</x:v>
      </x:c>
      <x:c r="X76" s="3" t="n">
        <x:f aca="0">IF(ISNUMBER(W76),W76*3.412142,"")</x:f>
        <x:v>51.182129999999994</x:v>
      </x:c>
      <x:c r="Y76" s="3" t="s">
        <x:v>345</x:v>
      </x:c>
      <x:c r="Z76" s="4"/>
      <x:c r="AA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</x:row>
    <x:row r="77" s="2" customFormat="1" ht="15.75" hidden="0" customHeight="1">
      <x:c r="A77" s="1" t="s">
        <x:v>136</x:v>
      </x:c>
      <x:c r="B77" s="1" t="s">
        <x:v>27</x:v>
      </x:c>
      <x:c r="C77" s="1" t="s">
        <x:v>437</x:v>
      </x:c>
      <x:c r="D77" s="1" t="s">
        <x:v>438</x:v>
      </x:c>
      <x:c r="E77" s="1" t="n">
        <x:v>1340</x:v>
      </x:c>
      <x:c r="F77" s="1"/>
      <x:c r="G77" s="1"/>
      <x:c r="H77" s="1"/>
      <x:c r="I77" s="1"/>
      <x:c r="J77" s="8" t="s">
        <x:v>139</x:v>
      </x:c>
      <x:c r="K77" s="1" t="s">
        <x:v>439</x:v>
      </x:c>
      <x:c r="L77" s="3" t="s">
        <x:v>151</x:v>
      </x:c>
      <x:c r="M77" s="3" t="s">
        <x:v>152</x:v>
      </x:c>
      <x:c r="N77" s="3" t="s">
        <x:v>153</x:v>
      </x:c>
      <x:c r="O77" s="3"/>
      <x:c r="P77" s="3" t="s">
        <x:v>154</x:v>
      </x:c>
      <x:c r="Q77" s="3" t="s">
        <x:v>155</x:v>
      </x:c>
      <x:c r="R77" s="3" t="s">
        <x:v>156</x:v>
      </x:c>
      <x:c r="S77" s="3" t="s">
        <x:v>157</x:v>
      </x:c>
      <x:c r="T77" s="3" t="s">
        <x:v>158</x:v>
      </x:c>
      <x:c r="U77" s="3" t="s">
        <x:v>344</x:v>
      </x:c>
      <x:c r="V77" s="3" t="s">
        <x:v>270</x:v>
      </x:c>
      <x:c r="W77" s="3" t="n">
        <x:v>15</x:v>
      </x:c>
      <x:c r="X77" s="3" t="n">
        <x:f aca="0">IF(ISNUMBER(W77),W77*3.412142,"")</x:f>
        <x:v>51.182129999999994</x:v>
      </x:c>
      <x:c r="Y77" s="3" t="s">
        <x:v>345</x:v>
      </x:c>
      <x:c r="Z77" s="4" t="s">
        <x:v>440</x:v>
      </x:c>
      <x:c r="AA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</x:row>
    <x:row r="78" s="2" customFormat="1" ht="15.75" hidden="0" customHeight="1">
      <x:c r="A78" s="1" t="s">
        <x:v>136</x:v>
      </x:c>
      <x:c r="B78" s="1" t="s">
        <x:v>27</x:v>
      </x:c>
      <x:c r="C78" s="1" t="s">
        <x:v>441</x:v>
      </x:c>
      <x:c r="D78" s="1" t="s">
        <x:v>442</x:v>
      </x:c>
      <x:c r="E78" s="1" t="n">
        <x:v>690</x:v>
      </x:c>
      <x:c r="F78" s="1"/>
      <x:c r="G78" s="1"/>
      <x:c r="H78" s="1"/>
      <x:c r="I78" s="1"/>
      <x:c r="J78" s="8" t="s">
        <x:v>139</x:v>
      </x:c>
      <x:c r="K78" s="1" t="s">
        <x:v>443</x:v>
      </x:c>
      <x:c r="L78" s="3" t="s">
        <x:v>46</x:v>
      </x:c>
      <x:c r="M78" s="3" t="s">
        <x:v>131</x:v>
      </x:c>
      <x:c r="N78" s="3" t="s">
        <x:v>48</x:v>
      </x:c>
      <x:c r="O78" s="3"/>
      <x:c r="P78" s="3" t="s">
        <x:v>132</x:v>
      </x:c>
      <x:c r="Q78" s="3" t="s">
        <x:v>36</x:v>
      </x:c>
      <x:c r="R78" s="3" t="s">
        <x:v>37</x:v>
      </x:c>
      <x:c r="S78" s="3" t="s">
        <x:v>38</x:v>
      </x:c>
      <x:c r="T78" s="3" t="s">
        <x:v>39</x:v>
      </x:c>
      <x:c r="U78" s="3" t="s">
        <x:v>133</x:v>
      </x:c>
      <x:c r="V78" s="3" t="s">
        <x:v>134</x:v>
      </x:c>
      <x:c r="W78" s="3" t="n">
        <x:v>12</x:v>
      </x:c>
      <x:c r="X78" s="3" t="n">
        <x:f aca="0">IF(ISNUMBER(W78),W78*3.412142,"")</x:f>
        <x:v>40.945704</x:v>
      </x:c>
      <x:c r="Y78" s="3" t="s">
        <x:v>141</x:v>
      </x:c>
      <x:c r="Z78" s="4"/>
      <x:c r="AA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</x:row>
    <x:row r="79" s="2" customFormat="1" ht="15.75" hidden="0" customHeight="1">
      <x:c r="A79" s="1" t="s">
        <x:v>136</x:v>
      </x:c>
      <x:c r="B79" s="1" t="s">
        <x:v>27</x:v>
      </x:c>
      <x:c r="C79" s="1" t="s">
        <x:v>444</x:v>
      </x:c>
      <x:c r="D79" s="1" t="s">
        <x:v>445</x:v>
      </x:c>
      <x:c r="E79" s="1" t="n">
        <x:v>3960</x:v>
      </x:c>
      <x:c r="F79" s="1"/>
      <x:c r="G79" s="1"/>
      <x:c r="H79" s="1"/>
      <x:c r="I79" s="1"/>
      <x:c r="J79" s="8" t="s">
        <x:v>139</x:v>
      </x:c>
      <x:c r="K79" s="1" t="s">
        <x:v>412</x:v>
      </x:c>
      <x:c r="L79" s="3" t="s">
        <x:v>151</x:v>
      </x:c>
      <x:c r="M79" s="3" t="s">
        <x:v>152</x:v>
      </x:c>
      <x:c r="N79" s="3" t="s">
        <x:v>153</x:v>
      </x:c>
      <x:c r="O79" s="3"/>
      <x:c r="P79" s="3" t="s">
        <x:v>154</x:v>
      </x:c>
      <x:c r="Q79" s="3" t="s">
        <x:v>155</x:v>
      </x:c>
      <x:c r="R79" s="3" t="s">
        <x:v>156</x:v>
      </x:c>
      <x:c r="S79" s="3" t="s">
        <x:v>157</x:v>
      </x:c>
      <x:c r="T79" s="3" t="s">
        <x:v>158</x:v>
      </x:c>
      <x:c r="U79" s="3" t="s">
        <x:v>40</x:v>
      </x:c>
      <x:c r="V79" s="3" t="s">
        <x:v>416</x:v>
      </x:c>
      <x:c r="W79" s="3" t="n">
        <x:v>80</x:v>
      </x:c>
      <x:c r="X79" s="3" t="n">
        <x:f aca="0">IF(ISNUMBER(W79),W79*3.412142,"")</x:f>
        <x:v>272.97136</x:v>
      </x:c>
      <x:c r="Y79" s="3" t="s">
        <x:v>42</x:v>
      </x:c>
      <x:c r="Z79" s="4" t="s">
        <x:v>446</x:v>
      </x:c>
      <x:c r="AA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</x:row>
    <x:row r="80" s="2" customFormat="1" ht="15.75" hidden="0" customHeight="1">
      <x:c r="A80" s="1" t="s">
        <x:v>136</x:v>
      </x:c>
      <x:c r="B80" s="1" t="s">
        <x:v>27</x:v>
      </x:c>
      <x:c r="C80" s="1" t="s">
        <x:v>447</x:v>
      </x:c>
      <x:c r="D80" s="1" t="s">
        <x:v>448</x:v>
      </x:c>
      <x:c r="E80" s="1" t="n">
        <x:v>1460</x:v>
      </x:c>
      <x:c r="F80" s="1"/>
      <x:c r="G80" s="1"/>
      <x:c r="H80" s="1"/>
      <x:c r="I80" s="1"/>
      <x:c r="J80" s="8" t="s">
        <x:v>139</x:v>
      </x:c>
      <x:c r="K80" s="1" t="s">
        <x:v>449</x:v>
      </x:c>
      <x:c r="L80" s="3" t="s">
        <x:v>46</x:v>
      </x:c>
      <x:c r="M80" s="3" t="s">
        <x:v>56</x:v>
      </x:c>
      <x:c r="N80" s="3" t="s">
        <x:v>48</x:v>
      </x:c>
      <x:c r="O80" s="3"/>
      <x:c r="P80" s="3" t="s">
        <x:v>49</x:v>
      </x:c>
      <x:c r="Q80" s="3" t="s">
        <x:v>36</x:v>
      </x:c>
      <x:c r="R80" s="3" t="s">
        <x:v>37</x:v>
      </x:c>
      <x:c r="S80" s="3" t="s">
        <x:v>38</x:v>
      </x:c>
      <x:c r="T80" s="3" t="s">
        <x:v>39</x:v>
      </x:c>
      <x:c r="U80" s="3" t="s">
        <x:v>133</x:v>
      </x:c>
      <x:c r="V80" s="3" t="s">
        <x:v>134</x:v>
      </x:c>
      <x:c r="W80" s="3" t="n">
        <x:v>12</x:v>
      </x:c>
      <x:c r="X80" s="3" t="n">
        <x:f aca="0">IF(ISNUMBER(W80),W80*3.412142,"")</x:f>
        <x:v>40.945704</x:v>
      </x:c>
      <x:c r="Y80" s="3" t="s">
        <x:v>141</x:v>
      </x:c>
      <x:c r="Z80" s="4"/>
      <x:c r="AA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</x:row>
    <x:row r="81" s="2" customFormat="1" ht="15.75" hidden="0" customHeight="1">
      <x:c r="A81" s="1" t="s">
        <x:v>136</x:v>
      </x:c>
      <x:c r="B81" s="1" t="s">
        <x:v>27</x:v>
      </x:c>
      <x:c r="C81" s="1" t="s">
        <x:v>450</x:v>
      </x:c>
      <x:c r="D81" s="1" t="s">
        <x:v>451</x:v>
      </x:c>
      <x:c r="E81" s="1" t="n">
        <x:v>1950</x:v>
      </x:c>
      <x:c r="F81" s="1"/>
      <x:c r="G81" s="1"/>
      <x:c r="H81" s="1"/>
      <x:c r="I81" s="1"/>
      <x:c r="J81" s="8" t="s">
        <x:v>139</x:v>
      </x:c>
      <x:c r="K81" s="1" t="s">
        <x:v>452</x:v>
      </x:c>
      <x:c r="L81" s="3" t="s">
        <x:v>151</x:v>
      </x:c>
      <x:c r="M81" s="3" t="s">
        <x:v>152</x:v>
      </x:c>
      <x:c r="N81" s="3" t="s">
        <x:v>153</x:v>
      </x:c>
      <x:c r="O81" s="3"/>
      <x:c r="P81" s="3" t="s">
        <x:v>154</x:v>
      </x:c>
      <x:c r="Q81" s="3" t="s">
        <x:v>155</x:v>
      </x:c>
      <x:c r="R81" s="3" t="s">
        <x:v>156</x:v>
      </x:c>
      <x:c r="S81" s="3" t="s">
        <x:v>157</x:v>
      </x:c>
      <x:c r="T81" s="3" t="s">
        <x:v>158</x:v>
      </x:c>
      <x:c r="U81" s="3" t="s">
        <x:v>344</x:v>
      </x:c>
      <x:c r="V81" s="3" t="s">
        <x:v>270</x:v>
      </x:c>
      <x:c r="W81" s="3" t="n">
        <x:v>15</x:v>
      </x:c>
      <x:c r="X81" s="3" t="n">
        <x:f aca="0">IF(ISNUMBER(W81),W81*3.412142,"")</x:f>
        <x:v>51.182129999999994</x:v>
      </x:c>
      <x:c r="Y81" s="3" t="s">
        <x:v>345</x:v>
      </x:c>
      <x:c r="Z81" s="4"/>
      <x:c r="AA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</x:row>
    <x:row r="82" s="2" customFormat="1" ht="15.75" hidden="0" customHeight="1">
      <x:c r="A82" s="1" t="s">
        <x:v>136</x:v>
      </x:c>
      <x:c r="B82" s="1" t="s">
        <x:v>27</x:v>
      </x:c>
      <x:c r="C82" s="1" t="s">
        <x:v>453</x:v>
      </x:c>
      <x:c r="D82" s="1" t="s">
        <x:v>454</x:v>
      </x:c>
      <x:c r="E82" s="1" t="n">
        <x:v>850</x:v>
      </x:c>
      <x:c r="F82" s="1"/>
      <x:c r="G82" s="1"/>
      <x:c r="H82" s="1"/>
      <x:c r="I82" s="1"/>
      <x:c r="J82" s="8" t="s">
        <x:v>139</x:v>
      </x:c>
      <x:c r="K82" s="1" t="s">
        <x:v>455</x:v>
      </x:c>
      <x:c r="L82" s="3" t="s">
        <x:v>426</x:v>
      </x:c>
      <x:c r="M82" s="3" t="s">
        <x:v>426</x:v>
      </x:c>
      <x:c r="N82" s="3" t="s">
        <x:v>153</x:v>
      </x:c>
      <x:c r="O82" s="3"/>
      <x:c r="P82" s="3" t="s">
        <x:v>306</x:v>
      </x:c>
      <x:c r="Q82" s="3" t="s">
        <x:v>155</x:v>
      </x:c>
      <x:c r="R82" s="3" t="s">
        <x:v>156</x:v>
      </x:c>
      <x:c r="S82" s="3" t="s">
        <x:v>157</x:v>
      </x:c>
      <x:c r="T82" s="3" t="s">
        <x:v>158</x:v>
      </x:c>
      <x:c r="U82" s="3" t="s">
        <x:v>344</x:v>
      </x:c>
      <x:c r="V82" s="3" t="s">
        <x:v>270</x:v>
      </x:c>
      <x:c r="W82" s="3" t="n">
        <x:v>15</x:v>
      </x:c>
      <x:c r="X82" s="3" t="n">
        <x:f aca="0">IF(ISNUMBER(W82),W82*3.412142,"")</x:f>
        <x:v>51.182129999999994</x:v>
      </x:c>
      <x:c r="Y82" s="3" t="s">
        <x:v>345</x:v>
      </x:c>
      <x:c r="Z82" s="4"/>
      <x:c r="AA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</x:row>
    <x:row r="83" s="2" customFormat="1" ht="15.75" hidden="0" customHeight="1">
      <x:c r="A83" s="1" t="s">
        <x:v>136</x:v>
      </x:c>
      <x:c r="B83" s="1" t="s">
        <x:v>27</x:v>
      </x:c>
      <x:c r="C83" s="1" t="s">
        <x:v>456</x:v>
      </x:c>
      <x:c r="D83" s="1" t="s">
        <x:v>457</x:v>
      </x:c>
      <x:c r="E83" s="1" t="n">
        <x:v>1110</x:v>
      </x:c>
      <x:c r="F83" s="1"/>
      <x:c r="G83" s="1"/>
      <x:c r="H83" s="1"/>
      <x:c r="I83" s="1"/>
      <x:c r="J83" s="8" t="s">
        <x:v>139</x:v>
      </x:c>
      <x:c r="K83" s="1" t="s">
        <x:v>458</x:v>
      </x:c>
      <x:c r="L83" s="3" t="s">
        <x:v>46</x:v>
      </x:c>
      <x:c r="M83" s="3" t="s">
        <x:v>131</x:v>
      </x:c>
      <x:c r="N83" s="3" t="s">
        <x:v>48</x:v>
      </x:c>
      <x:c r="O83" s="3"/>
      <x:c r="P83" s="3" t="s">
        <x:v>132</x:v>
      </x:c>
      <x:c r="Q83" s="3" t="s">
        <x:v>36</x:v>
      </x:c>
      <x:c r="R83" s="3" t="s">
        <x:v>37</x:v>
      </x:c>
      <x:c r="S83" s="3" t="s">
        <x:v>38</x:v>
      </x:c>
      <x:c r="T83" s="3" t="s">
        <x:v>39</x:v>
      </x:c>
      <x:c r="U83" s="3" t="s">
        <x:v>133</x:v>
      </x:c>
      <x:c r="V83" s="3" t="s">
        <x:v>134</x:v>
      </x:c>
      <x:c r="W83" s="3" t="n">
        <x:v>12</x:v>
      </x:c>
      <x:c r="X83" s="3" t="n">
        <x:f aca="0">IF(ISNUMBER(W83),W83*3.412142,"")</x:f>
        <x:v>40.945704</x:v>
      </x:c>
      <x:c r="Y83" s="3" t="s">
        <x:v>141</x:v>
      </x:c>
      <x:c r="Z83" s="4"/>
      <x:c r="AA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</x:row>
    <x:row r="84" s="2" customFormat="1" ht="15.75" hidden="0" customHeight="1">
      <x:c r="A84" s="1" t="s">
        <x:v>136</x:v>
      </x:c>
      <x:c r="B84" s="1" t="s">
        <x:v>27</x:v>
      </x:c>
      <x:c r="C84" s="1" t="s">
        <x:v>459</x:v>
      </x:c>
      <x:c r="D84" s="1" t="s">
        <x:v>460</x:v>
      </x:c>
      <x:c r="E84" s="1" t="n">
        <x:v>870</x:v>
      </x:c>
      <x:c r="F84" s="1"/>
      <x:c r="G84" s="1"/>
      <x:c r="H84" s="1"/>
      <x:c r="I84" s="1"/>
      <x:c r="J84" s="8" t="s">
        <x:v>139</x:v>
      </x:c>
      <x:c r="K84" s="1" t="s">
        <x:v>455</x:v>
      </x:c>
      <x:c r="L84" s="3" t="s">
        <x:v>151</x:v>
      </x:c>
      <x:c r="M84" s="3" t="s">
        <x:v>152</x:v>
      </x:c>
      <x:c r="N84" s="3" t="s">
        <x:v>153</x:v>
      </x:c>
      <x:c r="O84" s="3"/>
      <x:c r="P84" s="3" t="s">
        <x:v>154</x:v>
      </x:c>
      <x:c r="Q84" s="3" t="s">
        <x:v>155</x:v>
      </x:c>
      <x:c r="R84" s="3" t="s">
        <x:v>156</x:v>
      </x:c>
      <x:c r="S84" s="3" t="s">
        <x:v>157</x:v>
      </x:c>
      <x:c r="T84" s="3" t="s">
        <x:v>158</x:v>
      </x:c>
      <x:c r="U84" s="3" t="s">
        <x:v>344</x:v>
      </x:c>
      <x:c r="V84" s="3" t="s">
        <x:v>270</x:v>
      </x:c>
      <x:c r="W84" s="3" t="n">
        <x:v>15</x:v>
      </x:c>
      <x:c r="X84" s="3" t="n">
        <x:f aca="0">IF(ISNUMBER(W84),W84*3.412142,"")</x:f>
        <x:v>51.182129999999994</x:v>
      </x:c>
      <x:c r="Y84" s="3" t="s">
        <x:v>345</x:v>
      </x:c>
      <x:c r="Z84" s="4" t="s">
        <x:v>461</x:v>
      </x:c>
      <x:c r="AA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</x:row>
    <x:row r="85" s="2" customFormat="1" ht="15.75" hidden="0" customHeight="1">
      <x:c r="A85" s="1" t="s">
        <x:v>136</x:v>
      </x:c>
      <x:c r="B85" s="1" t="s">
        <x:v>27</x:v>
      </x:c>
      <x:c r="C85" s="1" t="s">
        <x:v>462</x:v>
      </x:c>
      <x:c r="D85" s="1" t="s">
        <x:v>463</x:v>
      </x:c>
      <x:c r="E85" s="1" t="n">
        <x:v>1830</x:v>
      </x:c>
      <x:c r="F85" s="1"/>
      <x:c r="G85" s="1"/>
      <x:c r="H85" s="1"/>
      <x:c r="I85" s="1"/>
      <x:c r="J85" s="8" t="s">
        <x:v>139</x:v>
      </x:c>
      <x:c r="K85" s="1" t="s">
        <x:v>464</x:v>
      </x:c>
      <x:c r="L85" s="3" t="s">
        <x:v>46</x:v>
      </x:c>
      <x:c r="M85" s="3" t="s">
        <x:v>56</x:v>
      </x:c>
      <x:c r="N85" s="3" t="s">
        <x:v>48</x:v>
      </x:c>
      <x:c r="O85" s="3"/>
      <x:c r="P85" s="3" t="s">
        <x:v>49</x:v>
      </x:c>
      <x:c r="Q85" s="3" t="s">
        <x:v>36</x:v>
      </x:c>
      <x:c r="R85" s="3" t="s">
        <x:v>37</x:v>
      </x:c>
      <x:c r="S85" s="3" t="s">
        <x:v>38</x:v>
      </x:c>
      <x:c r="T85" s="3" t="s">
        <x:v>39</x:v>
      </x:c>
      <x:c r="U85" s="3" t="s">
        <x:v>344</x:v>
      </x:c>
      <x:c r="V85" s="3" t="s">
        <x:v>270</x:v>
      </x:c>
      <x:c r="W85" s="3" t="n">
        <x:v>15</x:v>
      </x:c>
      <x:c r="X85" s="3" t="n">
        <x:f aca="0">IF(ISNUMBER(W85),W85*3.412142,"")</x:f>
        <x:v>51.182129999999994</x:v>
      </x:c>
      <x:c r="Y85" s="3" t="s">
        <x:v>345</x:v>
      </x:c>
      <x:c r="Z85" s="4"/>
      <x:c r="AA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</x:row>
    <x:row r="86" s="2" customFormat="1" ht="15.75" hidden="0" customHeight="1">
      <x:c r="A86" s="1" t="s">
        <x:v>136</x:v>
      </x:c>
      <x:c r="B86" s="1" t="s">
        <x:v>27</x:v>
      </x:c>
      <x:c r="C86" s="1" t="s">
        <x:v>465</x:v>
      </x:c>
      <x:c r="D86" s="1" t="s">
        <x:v>466</x:v>
      </x:c>
      <x:c r="E86" s="1" t="n">
        <x:v>1460</x:v>
      </x:c>
      <x:c r="F86" s="1"/>
      <x:c r="G86" s="1"/>
      <x:c r="H86" s="1"/>
      <x:c r="I86" s="1"/>
      <x:c r="J86" s="8" t="s">
        <x:v>139</x:v>
      </x:c>
      <x:c r="K86" s="1" t="s">
        <x:v>467</x:v>
      </x:c>
      <x:c r="L86" s="3" t="s">
        <x:v>151</x:v>
      </x:c>
      <x:c r="M86" s="3" t="s">
        <x:v>152</x:v>
      </x:c>
      <x:c r="N86" s="3" t="s">
        <x:v>153</x:v>
      </x:c>
      <x:c r="O86" s="3"/>
      <x:c r="P86" s="3" t="s">
        <x:v>154</x:v>
      </x:c>
      <x:c r="Q86" s="3" t="s">
        <x:v>155</x:v>
      </x:c>
      <x:c r="R86" s="3" t="s">
        <x:v>156</x:v>
      </x:c>
      <x:c r="S86" s="3" t="s">
        <x:v>157</x:v>
      </x:c>
      <x:c r="T86" s="3" t="s">
        <x:v>158</x:v>
      </x:c>
      <x:c r="U86" s="3" t="s">
        <x:v>344</x:v>
      </x:c>
      <x:c r="V86" s="3" t="s">
        <x:v>270</x:v>
      </x:c>
      <x:c r="W86" s="3" t="n">
        <x:v>15</x:v>
      </x:c>
      <x:c r="X86" s="3" t="n">
        <x:f aca="0">IF(ISNUMBER(W86),W86*3.412142,"")</x:f>
        <x:v>51.182129999999994</x:v>
      </x:c>
      <x:c r="Y86" s="3" t="s">
        <x:v>345</x:v>
      </x:c>
      <x:c r="Z86" s="4" t="s">
        <x:v>468</x:v>
      </x:c>
      <x:c r="AA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</x:row>
    <x:row r="87" s="2" customFormat="1" ht="15.75" hidden="0" customHeight="1">
      <x:c r="A87" s="1" t="s">
        <x:v>136</x:v>
      </x:c>
      <x:c r="B87" s="1" t="s">
        <x:v>27</x:v>
      </x:c>
      <x:c r="C87" s="1" t="s">
        <x:v>469</x:v>
      </x:c>
      <x:c r="D87" s="1" t="s">
        <x:v>470</x:v>
      </x:c>
      <x:c r="E87" s="1" t="n">
        <x:v>600</x:v>
      </x:c>
      <x:c r="F87" s="1"/>
      <x:c r="G87" s="1"/>
      <x:c r="H87" s="1"/>
      <x:c r="I87" s="1"/>
      <x:c r="J87" s="8" t="s">
        <x:v>139</x:v>
      </x:c>
      <x:c r="K87" s="1" t="s">
        <x:v>471</x:v>
      </x:c>
      <x:c r="L87" s="3" t="s">
        <x:v>151</x:v>
      </x:c>
      <x:c r="M87" s="3" t="s">
        <x:v>152</x:v>
      </x:c>
      <x:c r="N87" s="3" t="s">
        <x:v>153</x:v>
      </x:c>
      <x:c r="O87" s="3"/>
      <x:c r="P87" s="3" t="s">
        <x:v>154</x:v>
      </x:c>
      <x:c r="Q87" s="3" t="s">
        <x:v>155</x:v>
      </x:c>
      <x:c r="R87" s="3" t="s">
        <x:v>156</x:v>
      </x:c>
      <x:c r="S87" s="3" t="s">
        <x:v>157</x:v>
      </x:c>
      <x:c r="T87" s="3" t="s">
        <x:v>158</x:v>
      </x:c>
      <x:c r="U87" s="3" t="s">
        <x:v>133</x:v>
      </x:c>
      <x:c r="V87" s="3" t="s">
        <x:v>134</x:v>
      </x:c>
      <x:c r="W87" s="3" t="n">
        <x:v>12</x:v>
      </x:c>
      <x:c r="X87" s="3" t="n">
        <x:f aca="0">IF(ISNUMBER(W87),W87*3.412142,"")</x:f>
        <x:v>40.945704</x:v>
      </x:c>
      <x:c r="Y87" s="3" t="s">
        <x:v>141</x:v>
      </x:c>
      <x:c r="Z87" s="4"/>
      <x:c r="AA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</x:row>
    <x:row r="88" s="2" customFormat="1" ht="15.75" hidden="0" customHeight="1">
      <x:c r="A88" s="1" t="s">
        <x:v>136</x:v>
      </x:c>
      <x:c r="B88" s="1" t="s">
        <x:v>27</x:v>
      </x:c>
      <x:c r="C88" s="1" t="s">
        <x:v>472</x:v>
      </x:c>
      <x:c r="D88" s="1" t="s">
        <x:v>473</x:v>
      </x:c>
      <x:c r="E88" s="1" t="n">
        <x:v>680</x:v>
      </x:c>
      <x:c r="F88" s="1"/>
      <x:c r="G88" s="1"/>
      <x:c r="H88" s="1"/>
      <x:c r="I88" s="1"/>
      <x:c r="J88" s="8" t="s">
        <x:v>139</x:v>
      </x:c>
      <x:c r="K88" s="1" t="s">
        <x:v>474</x:v>
      </x:c>
      <x:c r="L88" s="3" t="s">
        <x:v>151</x:v>
      </x:c>
      <x:c r="M88" s="3" t="s">
        <x:v>152</x:v>
      </x:c>
      <x:c r="N88" s="3" t="s">
        <x:v>153</x:v>
      </x:c>
      <x:c r="O88" s="3"/>
      <x:c r="P88" s="3" t="s">
        <x:v>154</x:v>
      </x:c>
      <x:c r="Q88" s="3" t="s">
        <x:v>155</x:v>
      </x:c>
      <x:c r="R88" s="3" t="s">
        <x:v>156</x:v>
      </x:c>
      <x:c r="S88" s="3" t="s">
        <x:v>157</x:v>
      </x:c>
      <x:c r="T88" s="3" t="s">
        <x:v>158</x:v>
      </x:c>
      <x:c r="U88" s="3" t="s">
        <x:v>133</x:v>
      </x:c>
      <x:c r="V88" s="3" t="s">
        <x:v>134</x:v>
      </x:c>
      <x:c r="W88" s="3" t="n">
        <x:v>12</x:v>
      </x:c>
      <x:c r="X88" s="3" t="n">
        <x:f aca="0">IF(ISNUMBER(W88),W88*3.412142,"")</x:f>
        <x:v>40.945704</x:v>
      </x:c>
      <x:c r="Y88" s="3" t="s">
        <x:v>141</x:v>
      </x:c>
      <x:c r="Z88" s="4"/>
      <x:c r="AA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</x:row>
    <x:row r="89" s="2" customFormat="1" ht="15.75" hidden="0" customHeight="1">
      <x:c r="A89" s="1" t="s">
        <x:v>136</x:v>
      </x:c>
      <x:c r="B89" s="1" t="s">
        <x:v>27</x:v>
      </x:c>
      <x:c r="C89" s="1" t="s">
        <x:v>475</x:v>
      </x:c>
      <x:c r="D89" s="1" t="s">
        <x:v>476</x:v>
      </x:c>
      <x:c r="E89" s="1" t="n">
        <x:v>690</x:v>
      </x:c>
      <x:c r="F89" s="1"/>
      <x:c r="G89" s="1"/>
      <x:c r="H89" s="1"/>
      <x:c r="I89" s="1"/>
      <x:c r="J89" s="8" t="s">
        <x:v>139</x:v>
      </x:c>
      <x:c r="K89" s="1" t="s">
        <x:v>477</x:v>
      </x:c>
      <x:c r="L89" s="3" t="s">
        <x:v>151</x:v>
      </x:c>
      <x:c r="M89" s="3" t="s">
        <x:v>152</x:v>
      </x:c>
      <x:c r="N89" s="3" t="s">
        <x:v>153</x:v>
      </x:c>
      <x:c r="O89" s="3"/>
      <x:c r="P89" s="3" t="s">
        <x:v>154</x:v>
      </x:c>
      <x:c r="Q89" s="3" t="s">
        <x:v>155</x:v>
      </x:c>
      <x:c r="R89" s="3" t="s">
        <x:v>156</x:v>
      </x:c>
      <x:c r="S89" s="3" t="s">
        <x:v>157</x:v>
      </x:c>
      <x:c r="T89" s="3" t="s">
        <x:v>158</x:v>
      </x:c>
      <x:c r="U89" s="3" t="s">
        <x:v>133</x:v>
      </x:c>
      <x:c r="V89" s="3" t="s">
        <x:v>134</x:v>
      </x:c>
      <x:c r="W89" s="3" t="n">
        <x:v>12</x:v>
      </x:c>
      <x:c r="X89" s="3" t="n">
        <x:f aca="0">IF(ISNUMBER(W89),W89*3.412142,"")</x:f>
        <x:v>40.945704</x:v>
      </x:c>
      <x:c r="Y89" s="3" t="s">
        <x:v>141</x:v>
      </x:c>
      <x:c r="Z89" s="4"/>
      <x:c r="AA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</x:row>
    <x:row r="90" s="2" customFormat="1" ht="15.75" hidden="0" customHeight="1">
      <x:c r="A90" s="1" t="s">
        <x:v>136</x:v>
      </x:c>
      <x:c r="B90" s="1" t="s">
        <x:v>27</x:v>
      </x:c>
      <x:c r="C90" s="1" t="s">
        <x:v>478</x:v>
      </x:c>
      <x:c r="D90" s="1" t="s">
        <x:v>479</x:v>
      </x:c>
      <x:c r="E90" s="1" t="n">
        <x:v>810</x:v>
      </x:c>
      <x:c r="F90" s="1"/>
      <x:c r="G90" s="1"/>
      <x:c r="H90" s="1"/>
      <x:c r="I90" s="1"/>
      <x:c r="J90" s="8" t="s">
        <x:v>139</x:v>
      </x:c>
      <x:c r="K90" s="1" t="s">
        <x:v>480</x:v>
      </x:c>
      <x:c r="L90" s="3" t="s">
        <x:v>151</x:v>
      </x:c>
      <x:c r="M90" s="3" t="s">
        <x:v>152</x:v>
      </x:c>
      <x:c r="N90" s="3" t="s">
        <x:v>153</x:v>
      </x:c>
      <x:c r="O90" s="3"/>
      <x:c r="P90" s="3" t="s">
        <x:v>154</x:v>
      </x:c>
      <x:c r="Q90" s="3" t="s">
        <x:v>155</x:v>
      </x:c>
      <x:c r="R90" s="3" t="s">
        <x:v>156</x:v>
      </x:c>
      <x:c r="S90" s="3" t="s">
        <x:v>157</x:v>
      </x:c>
      <x:c r="T90" s="3" t="s">
        <x:v>158</x:v>
      </x:c>
      <x:c r="U90" s="3" t="s">
        <x:v>133</x:v>
      </x:c>
      <x:c r="V90" s="3" t="s">
        <x:v>134</x:v>
      </x:c>
      <x:c r="W90" s="3" t="n">
        <x:v>12</x:v>
      </x:c>
      <x:c r="X90" s="3" t="n">
        <x:f aca="0">IF(ISNUMBER(W90),W90*3.412142,"")</x:f>
        <x:v>40.945704</x:v>
      </x:c>
      <x:c r="Y90" s="3" t="s">
        <x:v>141</x:v>
      </x:c>
      <x:c r="Z90" s="4"/>
      <x:c r="AA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</x:row>
    <x:row r="91" s="2" customFormat="1" ht="15.75" hidden="0" customHeight="1">
      <x:c r="A91" s="1" t="s">
        <x:v>143</x:v>
      </x:c>
      <x:c r="B91" s="1" t="s">
        <x:v>27</x:v>
      </x:c>
      <x:c r="C91" s="1" t="s">
        <x:v>481</x:v>
      </x:c>
      <x:c r="D91" s="1" t="s">
        <x:v>482</x:v>
      </x:c>
      <x:c r="E91" s="1" t="n">
        <x:v>600</x:v>
      </x:c>
      <x:c r="F91" s="1"/>
      <x:c r="G91" s="1"/>
      <x:c r="H91" s="1"/>
      <x:c r="I91" s="1"/>
      <x:c r="J91" s="9" t="s">
        <x:v>146</x:v>
      </x:c>
      <x:c r="K91" s="1" t="s">
        <x:v>483</x:v>
      </x:c>
      <x:c r="L91" s="3" t="s">
        <x:v>46</x:v>
      </x:c>
      <x:c r="M91" s="3" t="s">
        <x:v>131</x:v>
      </x:c>
      <x:c r="N91" s="3" t="s">
        <x:v>48</x:v>
      </x:c>
      <x:c r="O91" s="3"/>
      <x:c r="P91" s="3" t="s">
        <x:v>132</x:v>
      </x:c>
      <x:c r="Q91" s="3" t="s">
        <x:v>36</x:v>
      </x:c>
      <x:c r="R91" s="3" t="s">
        <x:v>37</x:v>
      </x:c>
      <x:c r="S91" s="3" t="s">
        <x:v>38</x:v>
      </x:c>
      <x:c r="T91" s="3" t="s">
        <x:v>39</x:v>
      </x:c>
      <x:c r="U91" s="3" t="s">
        <x:v>133</x:v>
      </x:c>
      <x:c r="V91" s="3" t="s">
        <x:v>134</x:v>
      </x:c>
      <x:c r="W91" s="3" t="n">
        <x:v>12</x:v>
      </x:c>
      <x:c r="X91" s="3" t="n">
        <x:f aca="0">IF(ISNUMBER(W91),W91*3.412142,"")</x:f>
        <x:v>40.945704</x:v>
      </x:c>
      <x:c r="Y91" s="3" t="s">
        <x:v>141</x:v>
      </x:c>
      <x:c r="Z91" s="4"/>
      <x:c r="AA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</x:row>
    <x:row r="92" s="2" customFormat="1" ht="15.75" hidden="0" customHeight="1">
      <x:c r="A92" s="1" t="s">
        <x:v>143</x:v>
      </x:c>
      <x:c r="B92" s="1" t="s">
        <x:v>27</x:v>
      </x:c>
      <x:c r="C92" s="1" t="s">
        <x:v>484</x:v>
      </x:c>
      <x:c r="D92" s="1" t="s">
        <x:v>485</x:v>
      </x:c>
      <x:c r="E92" s="1" t="n">
        <x:v>870</x:v>
      </x:c>
      <x:c r="F92" s="1"/>
      <x:c r="G92" s="1"/>
      <x:c r="H92" s="1"/>
      <x:c r="I92" s="1"/>
      <x:c r="J92" s="9" t="s">
        <x:v>146</x:v>
      </x:c>
      <x:c r="K92" s="1" t="s">
        <x:v>486</x:v>
      </x:c>
      <x:c r="L92" s="3" t="s">
        <x:v>151</x:v>
      </x:c>
      <x:c r="M92" s="3" t="s">
        <x:v>152</x:v>
      </x:c>
      <x:c r="N92" s="3" t="s">
        <x:v>153</x:v>
      </x:c>
      <x:c r="O92" s="3"/>
      <x:c r="P92" s="3" t="s">
        <x:v>154</x:v>
      </x:c>
      <x:c r="Q92" s="3" t="s">
        <x:v>155</x:v>
      </x:c>
      <x:c r="R92" s="3" t="s">
        <x:v>156</x:v>
      </x:c>
      <x:c r="S92" s="3" t="s">
        <x:v>157</x:v>
      </x:c>
      <x:c r="T92" s="3" t="s">
        <x:v>158</x:v>
      </x:c>
      <x:c r="U92" s="3" t="s">
        <x:v>344</x:v>
      </x:c>
      <x:c r="V92" s="3" t="s">
        <x:v>270</x:v>
      </x:c>
      <x:c r="W92" s="3" t="n">
        <x:v>15</x:v>
      </x:c>
      <x:c r="X92" s="3" t="n">
        <x:f aca="0">IF(ISNUMBER(W92),W92*3.412142,"")</x:f>
        <x:v>51.182129999999994</x:v>
      </x:c>
      <x:c r="Y92" s="3" t="s">
        <x:v>345</x:v>
      </x:c>
      <x:c r="Z92" s="4" t="s">
        <x:v>487</x:v>
      </x:c>
      <x:c r="AA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</x:row>
    <x:row r="93" s="2" customFormat="1" ht="15.75" hidden="0" customHeight="1">
      <x:c r="A93" s="1" t="s">
        <x:v>143</x:v>
      </x:c>
      <x:c r="B93" s="1" t="s">
        <x:v>27</x:v>
      </x:c>
      <x:c r="C93" s="1" t="s">
        <x:v>488</x:v>
      </x:c>
      <x:c r="D93" s="1" t="s">
        <x:v>489</x:v>
      </x:c>
      <x:c r="E93" s="1" t="n">
        <x:v>600</x:v>
      </x:c>
      <x:c r="F93" s="1"/>
      <x:c r="G93" s="1"/>
      <x:c r="H93" s="1"/>
      <x:c r="I93" s="1"/>
      <x:c r="J93" s="9" t="s">
        <x:v>146</x:v>
      </x:c>
      <x:c r="K93" s="1" t="s">
        <x:v>490</x:v>
      </x:c>
      <x:c r="L93" s="3" t="s">
        <x:v>151</x:v>
      </x:c>
      <x:c r="M93" s="3" t="s">
        <x:v>152</x:v>
      </x:c>
      <x:c r="N93" s="3" t="s">
        <x:v>153</x:v>
      </x:c>
      <x:c r="O93" s="3"/>
      <x:c r="P93" s="3" t="s">
        <x:v>154</x:v>
      </x:c>
      <x:c r="Q93" s="3" t="s">
        <x:v>155</x:v>
      </x:c>
      <x:c r="R93" s="3" t="s">
        <x:v>156</x:v>
      </x:c>
      <x:c r="S93" s="3" t="s">
        <x:v>157</x:v>
      </x:c>
      <x:c r="T93" s="3" t="s">
        <x:v>158</x:v>
      </x:c>
      <x:c r="U93" s="3" t="s">
        <x:v>133</x:v>
      </x:c>
      <x:c r="V93" s="3" t="s">
        <x:v>134</x:v>
      </x:c>
      <x:c r="W93" s="3" t="n">
        <x:v>12</x:v>
      </x:c>
      <x:c r="X93" s="3" t="n">
        <x:f aca="0">IF(ISNUMBER(W93),W93*3.412142,"")</x:f>
        <x:v>40.945704</x:v>
      </x:c>
      <x:c r="Y93" s="3" t="s">
        <x:v>141</x:v>
      </x:c>
      <x:c r="Z93" s="4"/>
      <x:c r="AA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</x:row>
    <x:row r="94" s="2" customFormat="1" ht="15.75" hidden="0" customHeight="1">
      <x:c r="A94" s="1" t="s">
        <x:v>143</x:v>
      </x:c>
      <x:c r="B94" s="1" t="s">
        <x:v>27</x:v>
      </x:c>
      <x:c r="C94" s="1" t="s">
        <x:v>491</x:v>
      </x:c>
      <x:c r="D94" s="1" t="s">
        <x:v>492</x:v>
      </x:c>
      <x:c r="E94" s="1" t="n">
        <x:v>690</x:v>
      </x:c>
      <x:c r="F94" s="1"/>
      <x:c r="G94" s="1"/>
      <x:c r="H94" s="1"/>
      <x:c r="I94" s="1"/>
      <x:c r="J94" s="9" t="s">
        <x:v>146</x:v>
      </x:c>
      <x:c r="K94" s="1" t="s">
        <x:v>493</x:v>
      </x:c>
      <x:c r="L94" s="3" t="s">
        <x:v>151</x:v>
      </x:c>
      <x:c r="M94" s="3" t="s">
        <x:v>152</x:v>
      </x:c>
      <x:c r="N94" s="3" t="s">
        <x:v>153</x:v>
      </x:c>
      <x:c r="O94" s="3"/>
      <x:c r="P94" s="3" t="s">
        <x:v>154</x:v>
      </x:c>
      <x:c r="Q94" s="3" t="s">
        <x:v>155</x:v>
      </x:c>
      <x:c r="R94" s="3" t="s">
        <x:v>156</x:v>
      </x:c>
      <x:c r="S94" s="3" t="s">
        <x:v>157</x:v>
      </x:c>
      <x:c r="T94" s="3" t="s">
        <x:v>158</x:v>
      </x:c>
      <x:c r="U94" s="3" t="s">
        <x:v>133</x:v>
      </x:c>
      <x:c r="V94" s="3" t="s">
        <x:v>134</x:v>
      </x:c>
      <x:c r="W94" s="3" t="n">
        <x:v>12</x:v>
      </x:c>
      <x:c r="X94" s="3" t="n">
        <x:f aca="0">IF(ISNUMBER(W94),W94*3.412142,"")</x:f>
        <x:v>40.945704</x:v>
      </x:c>
      <x:c r="Y94" s="3" t="s">
        <x:v>141</x:v>
      </x:c>
      <x:c r="Z94" s="4"/>
      <x:c r="AA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</x:row>
    <x:row r="95" s="2" customFormat="1" ht="15.75" hidden="0" customHeight="1">
      <x:c r="A95" s="1" t="s">
        <x:v>143</x:v>
      </x:c>
      <x:c r="B95" s="1" t="s">
        <x:v>27</x:v>
      </x:c>
      <x:c r="C95" s="1" t="s">
        <x:v>494</x:v>
      </x:c>
      <x:c r="D95" s="1" t="s">
        <x:v>495</x:v>
      </x:c>
      <x:c r="E95" s="1" t="n">
        <x:v>690</x:v>
      </x:c>
      <x:c r="F95" s="1"/>
      <x:c r="G95" s="1"/>
      <x:c r="H95" s="1"/>
      <x:c r="I95" s="1"/>
      <x:c r="J95" s="9" t="s">
        <x:v>146</x:v>
      </x:c>
      <x:c r="K95" s="1" t="s">
        <x:v>496</x:v>
      </x:c>
      <x:c r="L95" s="3" t="s">
        <x:v>46</x:v>
      </x:c>
      <x:c r="M95" s="3" t="s">
        <x:v>131</x:v>
      </x:c>
      <x:c r="N95" s="3" t="s">
        <x:v>48</x:v>
      </x:c>
      <x:c r="O95" s="3"/>
      <x:c r="P95" s="3" t="s">
        <x:v>132</x:v>
      </x:c>
      <x:c r="Q95" s="3" t="s">
        <x:v>36</x:v>
      </x:c>
      <x:c r="R95" s="3" t="s">
        <x:v>37</x:v>
      </x:c>
      <x:c r="S95" s="3" t="s">
        <x:v>38</x:v>
      </x:c>
      <x:c r="T95" s="3" t="s">
        <x:v>39</x:v>
      </x:c>
      <x:c r="U95" s="3" t="s">
        <x:v>133</x:v>
      </x:c>
      <x:c r="V95" s="3" t="s">
        <x:v>134</x:v>
      </x:c>
      <x:c r="W95" s="3" t="n">
        <x:v>12</x:v>
      </x:c>
      <x:c r="X95" s="3" t="n">
        <x:f aca="0">IF(ISNUMBER(W95),W95*3.412142,"")</x:f>
        <x:v>40.945704</x:v>
      </x:c>
      <x:c r="Y95" s="3" t="s">
        <x:v>141</x:v>
      </x:c>
      <x:c r="Z95" s="4"/>
      <x:c r="AA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</x:row>
    <x:row r="96" s="2" customFormat="1" ht="15.75" hidden="0" customHeight="1">
      <x:c r="A96" s="1" t="s">
        <x:v>143</x:v>
      </x:c>
      <x:c r="B96" s="1" t="s">
        <x:v>27</x:v>
      </x:c>
      <x:c r="C96" s="1" t="s">
        <x:v>497</x:v>
      </x:c>
      <x:c r="D96" s="1" t="s">
        <x:v>498</x:v>
      </x:c>
      <x:c r="E96" s="1" t="n">
        <x:v>980</x:v>
      </x:c>
      <x:c r="F96" s="1"/>
      <x:c r="G96" s="1"/>
      <x:c r="H96" s="1"/>
      <x:c r="I96" s="1"/>
      <x:c r="J96" s="9" t="s">
        <x:v>146</x:v>
      </x:c>
      <x:c r="K96" s="1" t="s">
        <x:v>499</x:v>
      </x:c>
      <x:c r="L96" s="3" t="s">
        <x:v>151</x:v>
      </x:c>
      <x:c r="M96" s="3" t="s">
        <x:v>152</x:v>
      </x:c>
      <x:c r="N96" s="3" t="s">
        <x:v>153</x:v>
      </x:c>
      <x:c r="O96" s="3"/>
      <x:c r="P96" s="3" t="s">
        <x:v>154</x:v>
      </x:c>
      <x:c r="Q96" s="3" t="s">
        <x:v>155</x:v>
      </x:c>
      <x:c r="R96" s="3" t="s">
        <x:v>156</x:v>
      </x:c>
      <x:c r="S96" s="3" t="s">
        <x:v>157</x:v>
      </x:c>
      <x:c r="T96" s="3" t="s">
        <x:v>158</x:v>
      </x:c>
      <x:c r="U96" s="3" t="s">
        <x:v>344</x:v>
      </x:c>
      <x:c r="V96" s="3" t="s">
        <x:v>270</x:v>
      </x:c>
      <x:c r="W96" s="3" t="n">
        <x:v>15</x:v>
      </x:c>
      <x:c r="X96" s="3" t="n">
        <x:f aca="0">IF(ISNUMBER(W96),W96*3.412142,"")</x:f>
        <x:v>51.182129999999994</x:v>
      </x:c>
      <x:c r="Y96" s="3" t="s">
        <x:v>345</x:v>
      </x:c>
      <x:c r="Z96" s="4" t="s">
        <x:v>500</x:v>
      </x:c>
      <x:c r="AA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</x:row>
    <x:row r="97" s="2" customFormat="1" ht="15.75" hidden="0" customHeight="1">
      <x:c r="A97" s="1" t="s">
        <x:v>143</x:v>
      </x:c>
      <x:c r="B97" s="1" t="s">
        <x:v>27</x:v>
      </x:c>
      <x:c r="C97" s="1" t="s">
        <x:v>501</x:v>
      </x:c>
      <x:c r="D97" s="1" t="s">
        <x:v>502</x:v>
      </x:c>
      <x:c r="E97" s="1" t="n">
        <x:v>680</x:v>
      </x:c>
      <x:c r="F97" s="1"/>
      <x:c r="G97" s="1"/>
      <x:c r="H97" s="1"/>
      <x:c r="I97" s="1"/>
      <x:c r="J97" s="9" t="s">
        <x:v>146</x:v>
      </x:c>
      <x:c r="K97" s="1" t="s">
        <x:v>503</x:v>
      </x:c>
      <x:c r="L97" s="3" t="s">
        <x:v>151</x:v>
      </x:c>
      <x:c r="M97" s="3" t="s">
        <x:v>152</x:v>
      </x:c>
      <x:c r="N97" s="3" t="s">
        <x:v>153</x:v>
      </x:c>
      <x:c r="O97" s="3"/>
      <x:c r="P97" s="3" t="s">
        <x:v>154</x:v>
      </x:c>
      <x:c r="Q97" s="3" t="s">
        <x:v>155</x:v>
      </x:c>
      <x:c r="R97" s="3" t="s">
        <x:v>156</x:v>
      </x:c>
      <x:c r="S97" s="3" t="s">
        <x:v>157</x:v>
      </x:c>
      <x:c r="T97" s="3" t="s">
        <x:v>158</x:v>
      </x:c>
      <x:c r="U97" s="3" t="s">
        <x:v>133</x:v>
      </x:c>
      <x:c r="V97" s="3" t="s">
        <x:v>134</x:v>
      </x:c>
      <x:c r="W97" s="3" t="n">
        <x:v>12</x:v>
      </x:c>
      <x:c r="X97" s="3" t="n">
        <x:f aca="0">IF(ISNUMBER(W97),W97*3.412142,"")</x:f>
        <x:v>40.945704</x:v>
      </x:c>
      <x:c r="Y97" s="3" t="s">
        <x:v>141</x:v>
      </x:c>
      <x:c r="Z97" s="4"/>
      <x:c r="AA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</x:row>
    <x:row r="98" s="2" customFormat="1" ht="15.75" hidden="0" customHeight="1">
      <x:c r="A98" s="1" t="s">
        <x:v>143</x:v>
      </x:c>
      <x:c r="B98" s="1" t="s">
        <x:v>27</x:v>
      </x:c>
      <x:c r="C98" s="1" t="s">
        <x:v>504</x:v>
      </x:c>
      <x:c r="D98" s="1" t="s">
        <x:v>505</x:v>
      </x:c>
      <x:c r="E98" s="1" t="n">
        <x:v>810</x:v>
      </x:c>
      <x:c r="F98" s="1"/>
      <x:c r="G98" s="1"/>
      <x:c r="H98" s="1"/>
      <x:c r="I98" s="1"/>
      <x:c r="J98" s="9" t="s">
        <x:v>146</x:v>
      </x:c>
      <x:c r="K98" s="1" t="s">
        <x:v>506</x:v>
      </x:c>
      <x:c r="L98" s="3" t="s">
        <x:v>151</x:v>
      </x:c>
      <x:c r="M98" s="3" t="s">
        <x:v>152</x:v>
      </x:c>
      <x:c r="N98" s="3" t="s">
        <x:v>153</x:v>
      </x:c>
      <x:c r="O98" s="3"/>
      <x:c r="P98" s="3" t="s">
        <x:v>154</x:v>
      </x:c>
      <x:c r="Q98" s="3" t="s">
        <x:v>155</x:v>
      </x:c>
      <x:c r="R98" s="3" t="s">
        <x:v>156</x:v>
      </x:c>
      <x:c r="S98" s="3" t="s">
        <x:v>157</x:v>
      </x:c>
      <x:c r="T98" s="3" t="s">
        <x:v>158</x:v>
      </x:c>
      <x:c r="U98" s="3" t="s">
        <x:v>133</x:v>
      </x:c>
      <x:c r="V98" s="3" t="s">
        <x:v>134</x:v>
      </x:c>
      <x:c r="W98" s="3" t="n">
        <x:v>12</x:v>
      </x:c>
      <x:c r="X98" s="3" t="n">
        <x:f aca="0">IF(ISNUMBER(W98),W98*3.412142,"")</x:f>
        <x:v>40.945704</x:v>
      </x:c>
      <x:c r="Y98" s="3" t="s">
        <x:v>141</x:v>
      </x:c>
      <x:c r="Z98" s="4"/>
      <x:c r="AA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</x:row>
    <x:row r="99" s="2" customFormat="1" ht="15.75" hidden="0" customHeight="1">
      <x:c r="A99" s="1" t="s">
        <x:v>50</x:v>
      </x:c>
      <x:c r="B99" s="1" t="s">
        <x:v>27</x:v>
      </x:c>
      <x:c r="C99" s="1" t="s">
        <x:v>507</x:v>
      </x:c>
      <x:c r="D99" s="1" t="s">
        <x:v>508</x:v>
      </x:c>
      <x:c r="E99" s="1" t="n">
        <x:v>2500</x:v>
      </x:c>
      <x:c r="F99" s="1"/>
      <x:c r="G99" s="1"/>
      <x:c r="H99" s="1"/>
      <x:c r="I99" s="1"/>
      <x:c r="J99" s="6" t="s">
        <x:v>53</x:v>
      </x:c>
      <x:c r="K99" s="1" t="s">
        <x:v>509</x:v>
      </x:c>
      <x:c r="L99" s="3" t="s">
        <x:v>55</x:v>
      </x:c>
      <x:c r="M99" s="3" t="s">
        <x:v>56</x:v>
      </x:c>
      <x:c r="N99" s="3" t="s">
        <x:v>34</x:v>
      </x:c>
      <x:c r="O99" s="3"/>
      <x:c r="P99" s="3" t="s">
        <x:v>113</x:v>
      </x:c>
      <x:c r="Q99" s="3" t="s">
        <x:v>36</x:v>
      </x:c>
      <x:c r="R99" s="3" t="s">
        <x:v>37</x:v>
      </x:c>
      <x:c r="S99" s="3" t="s">
        <x:v>38</x:v>
      </x:c>
      <x:c r="T99" s="3" t="s">
        <x:v>39</x:v>
      </x:c>
      <x:c r="U99" s="3" t="s">
        <x:v>40</x:v>
      </x:c>
      <x:c r="V99" s="3" t="s">
        <x:v>41</x:v>
      </x:c>
      <x:c r="W99" s="3" t="n">
        <x:v>100</x:v>
      </x:c>
      <x:c r="X99" s="3" t="n">
        <x:f aca="0">IF(ISNUMBER(W99),W99*3.412142,"")</x:f>
        <x:v>341.2142</x:v>
      </x:c>
      <x:c r="Y99" s="3" t="s">
        <x:v>42</x:v>
      </x:c>
      <x:c r="Z99" s="4" t="s">
        <x:v>510</x:v>
      </x:c>
      <x:c r="AA99" s="1"/>
      <x:c r="AB99" s="1"/>
      <x:c r="AC99" s="1"/>
      <x:c r="AD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</x:row>
    <x:row r="100" s="2" customFormat="1" ht="15.75" hidden="0" customHeight="1">
      <x:c r="A100" s="1" t="s">
        <x:v>50</x:v>
      </x:c>
      <x:c r="B100" s="1" t="s">
        <x:v>27</x:v>
      </x:c>
      <x:c r="C100" s="1" t="s">
        <x:v>511</x:v>
      </x:c>
      <x:c r="D100" s="1" t="s">
        <x:v>512</x:v>
      </x:c>
      <x:c r="E100" s="1" t="n">
        <x:v>5820</x:v>
      </x:c>
      <x:c r="F100" s="1"/>
      <x:c r="G100" s="1"/>
      <x:c r="H100" s="1"/>
      <x:c r="I100" s="1"/>
      <x:c r="J100" s="6" t="s">
        <x:v>53</x:v>
      </x:c>
      <x:c r="K100" s="1" t="s">
        <x:v>513</x:v>
      </x:c>
      <x:c r="L100" s="3" t="s">
        <x:v>55</x:v>
      </x:c>
      <x:c r="M100" s="3" t="s">
        <x:v>56</x:v>
      </x:c>
      <x:c r="N100" s="3" t="s">
        <x:v>123</x:v>
      </x:c>
      <x:c r="O100" s="3"/>
      <x:c r="P100" s="3" t="s">
        <x:v>124</x:v>
      </x:c>
      <x:c r="Q100" s="3" t="s">
        <x:v>36</x:v>
      </x:c>
      <x:c r="R100" s="3" t="s">
        <x:v>37</x:v>
      </x:c>
      <x:c r="S100" s="3" t="s">
        <x:v>38</x:v>
      </x:c>
      <x:c r="T100" s="3" t="s">
        <x:v>39</x:v>
      </x:c>
      <x:c r="U100" s="3" t="s">
        <x:v>40</x:v>
      </x:c>
      <x:c r="V100" s="3" t="s">
        <x:v>70</x:v>
      </x:c>
      <x:c r="W100" s="3" t="n">
        <x:v>250</x:v>
      </x:c>
      <x:c r="X100" s="3" t="n">
        <x:f aca="0">IF(ISNUMBER(W100),W100*3.412142,"")</x:f>
        <x:v>853.0355</x:v>
      </x:c>
      <x:c r="Y100" s="3" t="s">
        <x:v>42</x:v>
      </x:c>
      <x:c r="Z100" s="4"/>
      <x:c r="AA100" s="1"/>
      <x:c r="AB100" s="1"/>
      <x:c r="AC100" s="1"/>
      <x:c r="AD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</x:row>
    <x:row r="101" s="2" customFormat="1" ht="15.75" hidden="0" customHeight="1">
      <x:c r="A101" s="1" t="s">
        <x:v>50</x:v>
      </x:c>
      <x:c r="B101" s="1" t="s">
        <x:v>27</x:v>
      </x:c>
      <x:c r="C101" s="1" t="s">
        <x:v>514</x:v>
      </x:c>
      <x:c r="D101" s="1" t="s">
        <x:v>515</x:v>
      </x:c>
      <x:c r="E101" s="1" t="n">
        <x:v>4320</x:v>
      </x:c>
      <x:c r="F101" s="1"/>
      <x:c r="G101" s="1"/>
      <x:c r="H101" s="1"/>
      <x:c r="I101" s="1"/>
      <x:c r="J101" s="6" t="s">
        <x:v>53</x:v>
      </x:c>
      <x:c r="K101" s="1" t="s">
        <x:v>516</x:v>
      </x:c>
      <x:c r="L101" s="3" t="s">
        <x:v>55</x:v>
      </x:c>
      <x:c r="M101" s="3" t="s">
        <x:v>63</x:v>
      </x:c>
      <x:c r="N101" s="3" t="s">
        <x:v>118</x:v>
      </x:c>
      <x:c r="O101" s="3"/>
      <x:c r="P101" s="3" t="s">
        <x:v>119</x:v>
      </x:c>
      <x:c r="Q101" s="3" t="s">
        <x:v>66</x:v>
      </x:c>
      <x:c r="R101" s="3" t="s">
        <x:v>67</x:v>
      </x:c>
      <x:c r="S101" s="3" t="s">
        <x:v>68</x:v>
      </x:c>
      <x:c r="T101" s="3" t="s">
        <x:v>39</x:v>
      </x:c>
      <x:c r="U101" s="3" t="s">
        <x:v>40</x:v>
      </x:c>
      <x:c r="V101" s="3" t="s">
        <x:v>70</x:v>
      </x:c>
      <x:c r="W101" s="3" t="n">
        <x:v>250</x:v>
      </x:c>
      <x:c r="X101" s="3" t="n">
        <x:f aca="0">IF(ISNUMBER(W101),W101*3.412142,"")</x:f>
        <x:v>853.0355</x:v>
      </x:c>
      <x:c r="Y101" s="3" t="s">
        <x:v>42</x:v>
      </x:c>
      <x:c r="Z101" s="4"/>
      <x:c r="AA101" s="1"/>
      <x:c r="AB101" s="1"/>
      <x:c r="AC101" s="1"/>
      <x:c r="AD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</x:row>
    <x:row r="102" s="2" customFormat="1" ht="15.75" hidden="0" customHeight="1">
      <x:c r="A102" s="1" t="s">
        <x:v>136</x:v>
      </x:c>
      <x:c r="B102" s="1" t="s">
        <x:v>27</x:v>
      </x:c>
      <x:c r="C102" s="1" t="s">
        <x:v>517</x:v>
      </x:c>
      <x:c r="D102" s="1" t="s">
        <x:v>518</x:v>
      </x:c>
      <x:c r="E102" s="1" t="n">
        <x:v>2420</x:v>
      </x:c>
      <x:c r="F102" s="1"/>
      <x:c r="G102" s="1"/>
      <x:c r="H102" s="1"/>
      <x:c r="I102" s="1"/>
      <x:c r="J102" s="8" t="s">
        <x:v>139</x:v>
      </x:c>
      <x:c r="K102" s="1" t="s">
        <x:v>519</x:v>
      </x:c>
      <x:c r="L102" s="3" t="s">
        <x:v>46</x:v>
      </x:c>
      <x:c r="M102" s="3" t="s">
        <x:v>131</x:v>
      </x:c>
      <x:c r="N102" s="3" t="s">
        <x:v>48</x:v>
      </x:c>
      <x:c r="O102" s="3"/>
      <x:c r="P102" s="3" t="s">
        <x:v>132</x:v>
      </x:c>
      <x:c r="Q102" s="3" t="s">
        <x:v>36</x:v>
      </x:c>
      <x:c r="R102" s="3" t="s">
        <x:v>37</x:v>
      </x:c>
      <x:c r="S102" s="3" t="s">
        <x:v>38</x:v>
      </x:c>
      <x:c r="T102" s="3" t="s">
        <x:v>39</x:v>
      </x:c>
      <x:c r="U102" s="3" t="s">
        <x:v>133</x:v>
      </x:c>
      <x:c r="V102" s="3" t="s">
        <x:v>134</x:v>
      </x:c>
      <x:c r="W102" s="3" t="n">
        <x:v>12</x:v>
      </x:c>
      <x:c r="X102" s="3" t="n">
        <x:f aca="0">IF(ISNUMBER(W102),W102*3.412142,"")</x:f>
        <x:v>40.945704</x:v>
      </x:c>
      <x:c r="Y102" s="3" t="s">
        <x:v>141</x:v>
      </x:c>
      <x:c r="Z102" s="4"/>
      <x:c r="AA102" s="1"/>
      <x:c r="AB102" s="1"/>
      <x:c r="AC102" s="1"/>
      <x:c r="AD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</x:row>
    <x:row r="103" s="2" customFormat="1" ht="15.75" hidden="0" customHeight="1">
      <x:c r="A103" s="1" t="s">
        <x:v>520</x:v>
      </x:c>
      <x:c r="B103" s="1" t="s">
        <x:v>27</x:v>
      </x:c>
      <x:c r="C103" s="1" t="s">
        <x:v>521</x:v>
      </x:c>
      <x:c r="D103" s="1" t="s">
        <x:v>522</x:v>
      </x:c>
      <x:c r="E103" s="1" t="n">
        <x:v>11540</x:v>
      </x:c>
      <x:c r="F103" s="1"/>
      <x:c r="G103" s="1"/>
      <x:c r="H103" s="1"/>
      <x:c r="I103" s="1"/>
      <x:c r="J103" s="15" t="s">
        <x:v>523</x:v>
      </x:c>
      <x:c r="K103" s="1" t="s">
        <x:v>524</x:v>
      </x:c>
      <x:c r="L103" s="3" t="s">
        <x:v>55</x:v>
      </x:c>
      <x:c r="M103" s="3" t="s">
        <x:v>63</x:v>
      </x:c>
      <x:c r="N103" s="3" t="s">
        <x:v>525</x:v>
      </x:c>
      <x:c r="O103" s="3"/>
      <x:c r="P103" s="3" t="s">
        <x:v>119</x:v>
      </x:c>
      <x:c r="Q103" s="3" t="s">
        <x:v>66</x:v>
      </x:c>
      <x:c r="R103" s="3" t="s">
        <x:v>67</x:v>
      </x:c>
      <x:c r="S103" s="3" t="s">
        <x:v>68</x:v>
      </x:c>
      <x:c r="T103" s="3" t="s">
        <x:v>39</x:v>
      </x:c>
      <x:c r="U103" s="3" t="s">
        <x:v>40</x:v>
      </x:c>
      <x:c r="V103" s="3" t="s">
        <x:v>80</x:v>
      </x:c>
      <x:c r="W103" s="3" t="n">
        <x:v>400</x:v>
      </x:c>
      <x:c r="X103" s="3" t="n">
        <x:f aca="0">IF(ISNUMBER(W103),W103*3.412142,"")</x:f>
        <x:v>1364.8568</x:v>
      </x:c>
      <x:c r="Y103" s="3" t="s">
        <x:v>42</x:v>
      </x:c>
      <x:c r="Z103" s="4"/>
      <x:c r="AA103" s="1"/>
      <x:c r="AB103" s="1"/>
      <x:c r="AC103" s="1"/>
      <x:c r="AD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</x:row>
    <x:row r="104" s="2" customFormat="1" ht="15.75" hidden="0" customHeight="1">
      <x:c r="A104" s="1" t="s">
        <x:v>520</x:v>
      </x:c>
      <x:c r="B104" s="1" t="s">
        <x:v>27</x:v>
      </x:c>
      <x:c r="C104" s="1" t="s">
        <x:v>526</x:v>
      </x:c>
      <x:c r="D104" s="1" t="s">
        <x:v>527</x:v>
      </x:c>
      <x:c r="E104" s="1" t="n">
        <x:v>11540</x:v>
      </x:c>
      <x:c r="F104" s="1"/>
      <x:c r="G104" s="1"/>
      <x:c r="H104" s="1"/>
      <x:c r="I104" s="1"/>
      <x:c r="J104" s="15" t="s">
        <x:v>523</x:v>
      </x:c>
      <x:c r="K104" s="1" t="s">
        <x:v>528</x:v>
      </x:c>
      <x:c r="L104" s="3" t="s">
        <x:v>55</x:v>
      </x:c>
      <x:c r="M104" s="3" t="s">
        <x:v>63</x:v>
      </x:c>
      <x:c r="N104" s="3" t="s">
        <x:v>525</x:v>
      </x:c>
      <x:c r="O104" s="3"/>
      <x:c r="P104" s="3" t="s">
        <x:v>119</x:v>
      </x:c>
      <x:c r="Q104" s="3" t="s">
        <x:v>66</x:v>
      </x:c>
      <x:c r="R104" s="3" t="s">
        <x:v>67</x:v>
      </x:c>
      <x:c r="S104" s="3" t="s">
        <x:v>68</x:v>
      </x:c>
      <x:c r="T104" s="3" t="s">
        <x:v>39</x:v>
      </x:c>
      <x:c r="U104" s="3" t="s">
        <x:v>40</x:v>
      </x:c>
      <x:c r="V104" s="3" t="s">
        <x:v>80</x:v>
      </x:c>
      <x:c r="W104" s="3" t="n">
        <x:v>400</x:v>
      </x:c>
      <x:c r="X104" s="3" t="n">
        <x:f aca="0">IF(ISNUMBER(W104),W104*3.412142,"")</x:f>
        <x:v>1364.8568</x:v>
      </x:c>
      <x:c r="Y104" s="3" t="s">
        <x:v>42</x:v>
      </x:c>
      <x:c r="Z104" s="4"/>
      <x:c r="AA104" s="1"/>
      <x:c r="AB104" s="1"/>
      <x:c r="AC104" s="1"/>
      <x:c r="AD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</x:row>
    <x:row r="105" s="2" customFormat="1" ht="15.75" hidden="0" customHeight="1">
      <x:c r="A105" s="1" t="s">
        <x:v>50</x:v>
      </x:c>
      <x:c r="B105" s="1" t="s">
        <x:v>27</x:v>
      </x:c>
      <x:c r="C105" s="1" t="s">
        <x:v>529</x:v>
      </x:c>
      <x:c r="D105" s="1" t="s">
        <x:v>530</x:v>
      </x:c>
      <x:c r="E105" s="1" t="n">
        <x:v>25470</x:v>
      </x:c>
      <x:c r="F105" s="1"/>
      <x:c r="G105" s="1"/>
      <x:c r="H105" s="1"/>
      <x:c r="I105" s="1"/>
      <x:c r="J105" s="6" t="s">
        <x:v>53</x:v>
      </x:c>
      <x:c r="K105" s="1" t="s">
        <x:v>531</x:v>
      </x:c>
      <x:c r="L105" s="3" t="s">
        <x:v>47</x:v>
      </x:c>
      <x:c r="M105" s="3" t="s">
        <x:v>63</x:v>
      </x:c>
      <x:c r="N105" s="3" t="s">
        <x:v>532</x:v>
      </x:c>
      <x:c r="O105" s="3"/>
      <x:c r="P105" s="3" t="s">
        <x:v>533</x:v>
      </x:c>
      <x:c r="Q105" s="3" t="s">
        <x:v>66</x:v>
      </x:c>
      <x:c r="R105" s="3" t="s">
        <x:v>67</x:v>
      </x:c>
      <x:c r="S105" s="3" t="s">
        <x:v>68</x:v>
      </x:c>
      <x:c r="T105" s="3" t="s">
        <x:v>99</x:v>
      </x:c>
      <x:c r="U105" s="3" t="s">
        <x:v>40</x:v>
      </x:c>
      <x:c r="V105" s="3" t="s">
        <x:v>100</x:v>
      </x:c>
      <x:c r="W105" s="3" t="n">
        <x:v>800</x:v>
      </x:c>
      <x:c r="X105" s="3" t="n">
        <x:f aca="0">IF(ISNUMBER(W105),W105*3.412142,"")</x:f>
        <x:v>2729.7136</x:v>
      </x:c>
      <x:c r="Y105" s="3" t="s">
        <x:v>42</x:v>
      </x:c>
      <x:c r="Z105" s="4" t="s">
        <x:v>534</x:v>
      </x:c>
      <x:c r="AA105" s="1"/>
      <x:c r="AB105" s="1"/>
      <x:c r="AC105" s="1"/>
      <x:c r="AD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</x:row>
    <x:row r="106" s="2" customFormat="1" ht="15.75" hidden="0" customHeight="1">
      <x:c r="A106" s="1" t="s">
        <x:v>50</x:v>
      </x:c>
      <x:c r="B106" s="1" t="s">
        <x:v>27</x:v>
      </x:c>
      <x:c r="C106" s="1" t="s">
        <x:v>535</x:v>
      </x:c>
      <x:c r="D106" s="1" t="s">
        <x:v>536</x:v>
      </x:c>
      <x:c r="E106" s="1" t="n">
        <x:v>36380</x:v>
      </x:c>
      <x:c r="F106" s="1"/>
      <x:c r="G106" s="1"/>
      <x:c r="H106" s="1"/>
      <x:c r="I106" s="1"/>
      <x:c r="J106" s="6" t="s">
        <x:v>53</x:v>
      </x:c>
      <x:c r="K106" s="1" t="s">
        <x:v>531</x:v>
      </x:c>
      <x:c r="L106" s="3" t="s">
        <x:v>537</x:v>
      </x:c>
      <x:c r="M106" s="3" t="s">
        <x:v>63</x:v>
      </x:c>
      <x:c r="N106" s="3" t="s">
        <x:v>538</x:v>
      </x:c>
      <x:c r="O106" s="3"/>
      <x:c r="P106" s="3" t="s">
        <x:v>539</x:v>
      </x:c>
      <x:c r="Q106" s="3" t="s">
        <x:v>66</x:v>
      </x:c>
      <x:c r="R106" s="3" t="s">
        <x:v>67</x:v>
      </x:c>
      <x:c r="S106" s="3" t="s">
        <x:v>68</x:v>
      </x:c>
      <x:c r="T106" s="3" t="s">
        <x:v>540</x:v>
      </x:c>
      <x:c r="U106" s="3" t="s">
        <x:v>40</x:v>
      </x:c>
      <x:c r="V106" s="3" t="s">
        <x:v>107</x:v>
      </x:c>
      <x:c r="W106" s="3" t="n">
        <x:v>1200</x:v>
      </x:c>
      <x:c r="X106" s="3" t="n">
        <x:f aca="0">IF(ISNUMBER(W106),W106*3.412142,"")</x:f>
        <x:v>4094.5703999999996</x:v>
      </x:c>
      <x:c r="Y106" s="3" t="s">
        <x:v>108</x:v>
      </x:c>
      <x:c r="Z106" s="4" t="s">
        <x:v>541</x:v>
      </x:c>
      <x:c r="AA106" s="1"/>
      <x:c r="AB106" s="1"/>
      <x:c r="AC106" s="1"/>
      <x:c r="AD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</x:row>
    <x:row r="107" s="2" customFormat="1" ht="15.75" hidden="0" customHeight="1">
      <x:c r="A107" s="1" t="s">
        <x:v>50</x:v>
      </x:c>
      <x:c r="B107" s="1" t="s">
        <x:v>27</x:v>
      </x:c>
      <x:c r="C107" s="1" t="s">
        <x:v>542</x:v>
      </x:c>
      <x:c r="D107" s="1" t="s">
        <x:v>543</x:v>
      </x:c>
      <x:c r="E107" s="1" t="n">
        <x:v>7650</x:v>
      </x:c>
      <x:c r="F107" s="1"/>
      <x:c r="G107" s="1"/>
      <x:c r="H107" s="1"/>
      <x:c r="I107" s="1"/>
      <x:c r="J107" s="6" t="s">
        <x:v>53</x:v>
      </x:c>
      <x:c r="K107" s="1" t="s">
        <x:v>544</x:v>
      </x:c>
      <x:c r="L107" s="3" t="s">
        <x:v>62</x:v>
      </x:c>
      <x:c r="M107" s="3" t="s">
        <x:v>63</x:v>
      </x:c>
      <x:c r="N107" s="3" t="s">
        <x:v>64</x:v>
      </x:c>
      <x:c r="O107" s="3"/>
      <x:c r="P107" s="3" t="s">
        <x:v>65</x:v>
      </x:c>
      <x:c r="Q107" s="3" t="s">
        <x:v>66</x:v>
      </x:c>
      <x:c r="R107" s="3" t="s">
        <x:v>67</x:v>
      </x:c>
      <x:c r="S107" s="3" t="s">
        <x:v>68</x:v>
      </x:c>
      <x:c r="T107" s="3" t="s">
        <x:v>69</x:v>
      </x:c>
      <x:c r="U107" s="3" t="s">
        <x:v>40</x:v>
      </x:c>
      <x:c r="V107" s="3" t="s">
        <x:v>70</x:v>
      </x:c>
      <x:c r="W107" s="3" t="n">
        <x:v>250</x:v>
      </x:c>
      <x:c r="X107" s="3" t="n">
        <x:f aca="0">IF(ISNUMBER(W107),W107*3.412142,"")</x:f>
        <x:v>853.0355</x:v>
      </x:c>
      <x:c r="Y107" s="3" t="s">
        <x:v>42</x:v>
      </x:c>
      <x:c r="Z107" s="4" t="s">
        <x:v>545</x:v>
      </x:c>
      <x:c r="AA107" s="1"/>
      <x:c r="AB107" s="1"/>
      <x:c r="AC107" s="1"/>
      <x:c r="AD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</x:row>
    <x:row r="108" s="2" customFormat="1" ht="15.75" hidden="0" customHeight="1">
      <x:c r="A108" s="1" t="s">
        <x:v>50</x:v>
      </x:c>
      <x:c r="B108" s="1" t="s">
        <x:v>27</x:v>
      </x:c>
      <x:c r="C108" s="1" t="s">
        <x:v>546</x:v>
      </x:c>
      <x:c r="D108" s="1" t="s">
        <x:v>547</x:v>
      </x:c>
      <x:c r="E108" s="1" t="n">
        <x:v>9740</x:v>
      </x:c>
      <x:c r="F108" s="1"/>
      <x:c r="G108" s="1"/>
      <x:c r="H108" s="1"/>
      <x:c r="I108" s="1"/>
      <x:c r="J108" s="6" t="s">
        <x:v>53</x:v>
      </x:c>
      <x:c r="K108" s="1" t="s">
        <x:v>548</x:v>
      </x:c>
      <x:c r="L108" s="3" t="s">
        <x:v>62</x:v>
      </x:c>
      <x:c r="M108" s="3" t="s">
        <x:v>63</x:v>
      </x:c>
      <x:c r="N108" s="3" t="s">
        <x:v>64</x:v>
      </x:c>
      <x:c r="O108" s="3"/>
      <x:c r="P108" s="3" t="s">
        <x:v>65</x:v>
      </x:c>
      <x:c r="Q108" s="3" t="s">
        <x:v>66</x:v>
      </x:c>
      <x:c r="R108" s="3" t="s">
        <x:v>67</x:v>
      </x:c>
      <x:c r="S108" s="3" t="s">
        <x:v>68</x:v>
      </x:c>
      <x:c r="T108" s="3" t="s">
        <x:v>69</x:v>
      </x:c>
      <x:c r="U108" s="3" t="s">
        <x:v>40</x:v>
      </x:c>
      <x:c r="V108" s="3" t="s">
        <x:v>70</x:v>
      </x:c>
      <x:c r="W108" s="3" t="n">
        <x:v>250</x:v>
      </x:c>
      <x:c r="X108" s="3" t="n">
        <x:f aca="0">IF(ISNUMBER(W108),W108*3.412142,"")</x:f>
        <x:v>853.0355</x:v>
      </x:c>
      <x:c r="Y108" s="3" t="s">
        <x:v>42</x:v>
      </x:c>
      <x:c r="Z108" s="4"/>
      <x:c r="AA108" s="1"/>
      <x:c r="AB108" s="1"/>
      <x:c r="AC108" s="1"/>
      <x:c r="AD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</x:row>
    <x:row r="109" s="2" customFormat="1" ht="15.75" hidden="0" customHeight="1">
      <x:c r="A109" s="1" t="s">
        <x:v>50</x:v>
      </x:c>
      <x:c r="B109" s="1" t="s">
        <x:v>27</x:v>
      </x:c>
      <x:c r="C109" s="1" t="s">
        <x:v>549</x:v>
      </x:c>
      <x:c r="D109" s="1" t="s">
        <x:v>550</x:v>
      </x:c>
      <x:c r="E109" s="1" t="n">
        <x:v>17020</x:v>
      </x:c>
      <x:c r="F109" s="1"/>
      <x:c r="G109" s="1"/>
      <x:c r="H109" s="1"/>
      <x:c r="I109" s="1"/>
      <x:c r="J109" s="6" t="s">
        <x:v>53</x:v>
      </x:c>
      <x:c r="K109" s="1" t="str">
        <x:v>left:HDMI:HDMI In 1-4|left:RJ-45:DTP In 5-8|left:Captive Screw:Mic/Line (4ch)|left:USB-B:USB Audio|right:HDMI:HDMI Out 1-2|right:RJ-45:DTP Out 1-4|right:Captive Screw:Amp Out|right:RJ-45:EXP</x:v>
      </x:c>
      <x:c r="L109" s="3" t="s">
        <x:v>62</x:v>
      </x:c>
      <x:c r="M109" s="3" t="s">
        <x:v>63</x:v>
      </x:c>
      <x:c r="N109" s="3" t="s">
        <x:v>64</x:v>
      </x:c>
      <x:c r="O109" s="3"/>
      <x:c r="P109" s="3" t="s">
        <x:v>65</x:v>
      </x:c>
      <x:c r="Q109" s="3" t="s">
        <x:v>66</x:v>
      </x:c>
      <x:c r="R109" s="3" t="s">
        <x:v>67</x:v>
      </x:c>
      <x:c r="S109" s="3" t="s">
        <x:v>68</x:v>
      </x:c>
      <x:c r="T109" s="3" t="s">
        <x:v>69</x:v>
      </x:c>
      <x:c r="U109" s="3" t="s">
        <x:v>40</x:v>
      </x:c>
      <x:c r="V109" s="3" t="s">
        <x:v>70</x:v>
      </x:c>
      <x:c r="W109" s="3" t="n">
        <x:v>250</x:v>
      </x:c>
      <x:c r="X109" s="3" t="n">
        <x:f aca="0">IF(ISNUMBER(W109),W109*3.412142,"")</x:f>
        <x:v>853.0355</x:v>
      </x:c>
      <x:c r="Y109" s="3" t="s">
        <x:v>42</x:v>
      </x:c>
      <x:c r="Z109" s="4"/>
      <x:c r="AA109" s="1"/>
      <x:c r="AB109" s="1"/>
      <x:c r="AC109" s="1"/>
      <x:c r="AD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</x:row>
    <x:row r="110" s="2" customFormat="1" ht="15.75" hidden="0" customHeight="1">
      <x:c r="A110" s="1" t="s">
        <x:v>50</x:v>
      </x:c>
      <x:c r="B110" s="1" t="s">
        <x:v>27</x:v>
      </x:c>
      <x:c r="C110" s="1" t="s">
        <x:v>551</x:v>
      </x:c>
      <x:c r="D110" s="1" t="s">
        <x:v>552</x:v>
      </x:c>
      <x:c r="E110" s="1" t="n">
        <x:v>1450</x:v>
      </x:c>
      <x:c r="F110" s="1"/>
      <x:c r="G110" s="1"/>
      <x:c r="H110" s="1"/>
      <x:c r="I110" s="1"/>
      <x:c r="J110" s="6" t="s">
        <x:v>53</x:v>
      </x:c>
      <x:c r="K110" s="1" t="s">
        <x:v>553</x:v>
      </x:c>
      <x:c r="L110" s="3" t="s">
        <x:v>46</x:v>
      </x:c>
      <x:c r="M110" s="3" t="s">
        <x:v>131</x:v>
      </x:c>
      <x:c r="N110" s="3" t="s">
        <x:v>48</x:v>
      </x:c>
      <x:c r="O110" s="3"/>
      <x:c r="P110" s="3" t="s">
        <x:v>132</x:v>
      </x:c>
      <x:c r="Q110" s="3" t="s">
        <x:v>36</x:v>
      </x:c>
      <x:c r="R110" s="3" t="s">
        <x:v>37</x:v>
      </x:c>
      <x:c r="S110" s="3" t="s">
        <x:v>38</x:v>
      </x:c>
      <x:c r="T110" s="3" t="s">
        <x:v>39</x:v>
      </x:c>
      <x:c r="U110" s="3" t="s">
        <x:v>133</x:v>
      </x:c>
      <x:c r="V110" s="3" t="s">
        <x:v>134</x:v>
      </x:c>
      <x:c r="W110" s="3" t="n">
        <x:v>12</x:v>
      </x:c>
      <x:c r="X110" s="3" t="n">
        <x:f aca="0">IF(ISNUMBER(W110),W110*3.412142,"")</x:f>
        <x:v>40.945704</x:v>
      </x:c>
      <x:c r="Y110" s="3" t="s">
        <x:v>141</x:v>
      </x:c>
      <x:c r="Z110" s="4"/>
      <x:c r="AA110" s="1"/>
      <x:c r="AB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</x:row>
    <x:row r="111" s="2" customFormat="1" ht="15.75" hidden="0" customHeight="1">
      <x:c r="A111" s="1" t="s">
        <x:v>50</x:v>
      </x:c>
      <x:c r="B111" s="1" t="s">
        <x:v>27</x:v>
      </x:c>
      <x:c r="C111" s="1" t="s">
        <x:v>554</x:v>
      </x:c>
      <x:c r="D111" s="1" t="s">
        <x:v>399</x:v>
      </x:c>
      <x:c r="E111" s="1" t="n">
        <x:v>740</x:v>
      </x:c>
      <x:c r="F111" s="1"/>
      <x:c r="G111" s="1"/>
      <x:c r="H111" s="1"/>
      <x:c r="I111" s="1"/>
      <x:c r="J111" s="6" t="s">
        <x:v>53</x:v>
      </x:c>
      <x:c r="K111" s="1" t="s">
        <x:v>555</x:v>
      </x:c>
      <x:c r="L111" s="3" t="s">
        <x:v>151</x:v>
      </x:c>
      <x:c r="M111" s="3" t="s">
        <x:v>152</x:v>
      </x:c>
      <x:c r="N111" s="3" t="s">
        <x:v>153</x:v>
      </x:c>
      <x:c r="O111" s="3"/>
      <x:c r="P111" s="3" t="s">
        <x:v>154</x:v>
      </x:c>
      <x:c r="Q111" s="3" t="s">
        <x:v>155</x:v>
      </x:c>
      <x:c r="R111" s="3" t="s">
        <x:v>156</x:v>
      </x:c>
      <x:c r="S111" s="3" t="s">
        <x:v>157</x:v>
      </x:c>
      <x:c r="T111" s="3" t="s">
        <x:v>158</x:v>
      </x:c>
      <x:c r="U111" s="3" t="s">
        <x:v>344</x:v>
      </x:c>
      <x:c r="V111" s="3" t="s">
        <x:v>270</x:v>
      </x:c>
      <x:c r="W111" s="3" t="n">
        <x:v>15</x:v>
      </x:c>
      <x:c r="X111" s="3" t="n">
        <x:f aca="0">IF(ISNUMBER(W111),W111*3.412142,"")</x:f>
        <x:v>51.182129999999994</x:v>
      </x:c>
      <x:c r="Y111" s="3" t="s">
        <x:v>345</x:v>
      </x:c>
      <x:c r="Z111" s="4" t="s">
        <x:v>556</x:v>
      </x:c>
      <x:c r="AA111" s="1"/>
      <x:c r="AB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</x:row>
    <x:row r="112" s="2" customFormat="1" ht="15.75" hidden="0" customHeight="1">
      <x:c r="A112" s="1" t="s">
        <x:v>50</x:v>
      </x:c>
      <x:c r="B112" s="1" t="s">
        <x:v>27</x:v>
      </x:c>
      <x:c r="C112" s="1" t="s">
        <x:v>557</x:v>
      </x:c>
      <x:c r="D112" s="1" t="s">
        <x:v>558</x:v>
      </x:c>
      <x:c r="E112" s="1" t="n">
        <x:v>2550</x:v>
      </x:c>
      <x:c r="F112" s="1"/>
      <x:c r="G112" s="1"/>
      <x:c r="H112" s="1"/>
      <x:c r="I112" s="1"/>
      <x:c r="J112" s="6" t="s">
        <x:v>53</x:v>
      </x:c>
      <x:c r="K112" s="1" t="s">
        <x:v>559</x:v>
      </x:c>
      <x:c r="L112" s="3" t="s">
        <x:v>46</x:v>
      </x:c>
      <x:c r="M112" s="3" t="s">
        <x:v>131</x:v>
      </x:c>
      <x:c r="N112" s="3" t="s">
        <x:v>48</x:v>
      </x:c>
      <x:c r="O112" s="3"/>
      <x:c r="P112" s="3" t="s">
        <x:v>132</x:v>
      </x:c>
      <x:c r="Q112" s="3" t="s">
        <x:v>36</x:v>
      </x:c>
      <x:c r="R112" s="3" t="s">
        <x:v>37</x:v>
      </x:c>
      <x:c r="S112" s="3" t="s">
        <x:v>38</x:v>
      </x:c>
      <x:c r="T112" s="3" t="s">
        <x:v>39</x:v>
      </x:c>
      <x:c r="U112" s="3" t="s">
        <x:v>344</x:v>
      </x:c>
      <x:c r="V112" s="3" t="s">
        <x:v>270</x:v>
      </x:c>
      <x:c r="W112" s="3" t="n">
        <x:v>15</x:v>
      </x:c>
      <x:c r="X112" s="3" t="n">
        <x:f aca="0">IF(ISNUMBER(W112),W112*3.412142,"")</x:f>
        <x:v>51.182129999999994</x:v>
      </x:c>
      <x:c r="Y112" s="3" t="s">
        <x:v>345</x:v>
      </x:c>
      <x:c r="Z112" s="4" t="s">
        <x:v>560</x:v>
      </x:c>
      <x:c r="AA112" s="1"/>
      <x:c r="AB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</x:row>
    <x:row r="113" s="2" customFormat="1" ht="15.75" hidden="0" customHeight="1">
      <x:c r="A113" s="1" t="s">
        <x:v>50</x:v>
      </x:c>
      <x:c r="B113" s="1" t="s">
        <x:v>27</x:v>
      </x:c>
      <x:c r="C113" s="1" t="s">
        <x:v>561</x:v>
      </x:c>
      <x:c r="D113" s="1" t="s">
        <x:v>562</x:v>
      </x:c>
      <x:c r="E113" s="1" t="n">
        <x:v>1530</x:v>
      </x:c>
      <x:c r="F113" s="1"/>
      <x:c r="G113" s="1"/>
      <x:c r="H113" s="1"/>
      <x:c r="I113" s="1"/>
      <x:c r="J113" s="6" t="s">
        <x:v>53</x:v>
      </x:c>
      <x:c r="K113" s="1" t="s">
        <x:v>563</x:v>
      </x:c>
      <x:c r="L113" s="3" t="s">
        <x:v>151</x:v>
      </x:c>
      <x:c r="M113" s="3" t="s">
        <x:v>152</x:v>
      </x:c>
      <x:c r="N113" s="3" t="s">
        <x:v>153</x:v>
      </x:c>
      <x:c r="O113" s="3"/>
      <x:c r="P113" s="3" t="s">
        <x:v>154</x:v>
      </x:c>
      <x:c r="Q113" s="3" t="s">
        <x:v>155</x:v>
      </x:c>
      <x:c r="R113" s="3" t="s">
        <x:v>156</x:v>
      </x:c>
      <x:c r="S113" s="3" t="s">
        <x:v>157</x:v>
      </x:c>
      <x:c r="T113" s="3" t="s">
        <x:v>158</x:v>
      </x:c>
      <x:c r="U113" s="3" t="s">
        <x:v>133</x:v>
      </x:c>
      <x:c r="V113" s="3" t="s">
        <x:v>134</x:v>
      </x:c>
      <x:c r="W113" s="3" t="n">
        <x:v>12</x:v>
      </x:c>
      <x:c r="X113" s="3" t="n">
        <x:f aca="0">IF(ISNUMBER(W113),W113*3.412142,"")</x:f>
        <x:v>40.945704</x:v>
      </x:c>
      <x:c r="Y113" s="3" t="s">
        <x:v>141</x:v>
      </x:c>
      <x:c r="Z113" s="4" t="s">
        <x:v>545</x:v>
      </x:c>
      <x:c r="AA113" s="1"/>
      <x:c r="AB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</x:row>
    <x:row r="114" s="2" customFormat="1" ht="15.75" hidden="0" customHeight="1">
      <x:c r="A114" s="1" t="s">
        <x:v>50</x:v>
      </x:c>
      <x:c r="B114" s="1" t="s">
        <x:v>27</x:v>
      </x:c>
      <x:c r="C114" s="1" t="s">
        <x:v>564</x:v>
      </x:c>
      <x:c r="D114" s="1" t="s">
        <x:v>404</x:v>
      </x:c>
      <x:c r="E114" s="1" t="n">
        <x:v>1350</x:v>
      </x:c>
      <x:c r="F114" s="1"/>
      <x:c r="G114" s="1"/>
      <x:c r="H114" s="1"/>
      <x:c r="I114" s="1"/>
      <x:c r="J114" s="6" t="s">
        <x:v>53</x:v>
      </x:c>
      <x:c r="K114" s="1" t="s">
        <x:v>565</x:v>
      </x:c>
      <x:c r="L114" s="3" t="s">
        <x:v>151</x:v>
      </x:c>
      <x:c r="M114" s="3" t="s">
        <x:v>152</x:v>
      </x:c>
      <x:c r="N114" s="3" t="s">
        <x:v>153</x:v>
      </x:c>
      <x:c r="O114" s="3"/>
      <x:c r="P114" s="3" t="s">
        <x:v>154</x:v>
      </x:c>
      <x:c r="Q114" s="3" t="s">
        <x:v>155</x:v>
      </x:c>
      <x:c r="R114" s="3" t="s">
        <x:v>156</x:v>
      </x:c>
      <x:c r="S114" s="3" t="s">
        <x:v>157</x:v>
      </x:c>
      <x:c r="T114" s="3" t="s">
        <x:v>158</x:v>
      </x:c>
      <x:c r="U114" s="3" t="s">
        <x:v>344</x:v>
      </x:c>
      <x:c r="V114" s="3" t="s">
        <x:v>270</x:v>
      </x:c>
      <x:c r="W114" s="3" t="n">
        <x:v>15</x:v>
      </x:c>
      <x:c r="X114" s="3" t="n">
        <x:f aca="0">IF(ISNUMBER(W114),W114*3.412142,"")</x:f>
        <x:v>51.182129999999994</x:v>
      </x:c>
      <x:c r="Y114" s="3" t="s">
        <x:v>345</x:v>
      </x:c>
      <x:c r="Z114" s="4" t="s">
        <x:v>566</x:v>
      </x:c>
      <x:c r="AA114" s="1"/>
      <x:c r="AB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</x:row>
    <x:row r="115" s="2" customFormat="1" ht="15.75" hidden="0" customHeight="1">
      <x:c r="A115" s="1" t="s">
        <x:v>50</x:v>
      </x:c>
      <x:c r="B115" s="1" t="s">
        <x:v>27</x:v>
      </x:c>
      <x:c r="C115" s="1" t="s">
        <x:v>567</x:v>
      </x:c>
      <x:c r="D115" s="1" t="s">
        <x:v>419</x:v>
      </x:c>
      <x:c r="E115" s="1" t="n">
        <x:v>1830</x:v>
      </x:c>
      <x:c r="F115" s="1"/>
      <x:c r="G115" s="1"/>
      <x:c r="H115" s="1"/>
      <x:c r="I115" s="1"/>
      <x:c r="J115" s="6" t="s">
        <x:v>53</x:v>
      </x:c>
      <x:c r="K115" s="1" t="s">
        <x:v>568</x:v>
      </x:c>
      <x:c r="L115" s="3" t="s">
        <x:v>151</x:v>
      </x:c>
      <x:c r="M115" s="3" t="s">
        <x:v>152</x:v>
      </x:c>
      <x:c r="N115" s="3" t="s">
        <x:v>153</x:v>
      </x:c>
      <x:c r="O115" s="3"/>
      <x:c r="P115" s="3" t="s">
        <x:v>154</x:v>
      </x:c>
      <x:c r="Q115" s="3" t="s">
        <x:v>155</x:v>
      </x:c>
      <x:c r="R115" s="3" t="s">
        <x:v>156</x:v>
      </x:c>
      <x:c r="S115" s="3" t="s">
        <x:v>157</x:v>
      </x:c>
      <x:c r="T115" s="3" t="s">
        <x:v>158</x:v>
      </x:c>
      <x:c r="U115" s="3" t="s">
        <x:v>344</x:v>
      </x:c>
      <x:c r="V115" s="3" t="s">
        <x:v>270</x:v>
      </x:c>
      <x:c r="W115" s="3" t="n">
        <x:v>15</x:v>
      </x:c>
      <x:c r="X115" s="3" t="n">
        <x:f aca="0">IF(ISNUMBER(W115),W115*3.412142,"")</x:f>
        <x:v>51.182129999999994</x:v>
      </x:c>
      <x:c r="Y115" s="3" t="s">
        <x:v>345</x:v>
      </x:c>
      <x:c r="Z115" s="4" t="s">
        <x:v>569</x:v>
      </x:c>
      <x:c r="AA115" s="1"/>
      <x:c r="AB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</x:row>
    <x:row r="116" s="2" customFormat="1" ht="15.75" hidden="0" customHeight="1">
      <x:c r="A116" s="1" t="s">
        <x:v>50</x:v>
      </x:c>
      <x:c r="B116" s="1" t="s">
        <x:v>27</x:v>
      </x:c>
      <x:c r="C116" s="1" t="s">
        <x:v>570</x:v>
      </x:c>
      <x:c r="D116" s="1" t="s">
        <x:v>571</x:v>
      </x:c>
      <x:c r="E116" s="1" t="n">
        <x:v>1100</x:v>
      </x:c>
      <x:c r="F116" s="1"/>
      <x:c r="G116" s="1"/>
      <x:c r="H116" s="1"/>
      <x:c r="I116" s="1"/>
      <x:c r="J116" s="6" t="s">
        <x:v>53</x:v>
      </x:c>
      <x:c r="K116" s="1" t="s">
        <x:v>572</x:v>
      </x:c>
      <x:c r="L116" s="3" t="s">
        <x:v>46</x:v>
      </x:c>
      <x:c r="M116" s="3" t="s">
        <x:v>131</x:v>
      </x:c>
      <x:c r="N116" s="3" t="s">
        <x:v>48</x:v>
      </x:c>
      <x:c r="O116" s="3"/>
      <x:c r="P116" s="3" t="s">
        <x:v>132</x:v>
      </x:c>
      <x:c r="Q116" s="3" t="s">
        <x:v>36</x:v>
      </x:c>
      <x:c r="R116" s="3" t="s">
        <x:v>37</x:v>
      </x:c>
      <x:c r="S116" s="3" t="s">
        <x:v>38</x:v>
      </x:c>
      <x:c r="T116" s="3" t="s">
        <x:v>39</x:v>
      </x:c>
      <x:c r="U116" s="3" t="s">
        <x:v>133</x:v>
      </x:c>
      <x:c r="V116" s="3" t="s">
        <x:v>134</x:v>
      </x:c>
      <x:c r="W116" s="3" t="n">
        <x:v>12</x:v>
      </x:c>
      <x:c r="X116" s="3" t="n">
        <x:f aca="0">IF(ISNUMBER(W116),W116*3.412142,"")</x:f>
        <x:v>40.945704</x:v>
      </x:c>
      <x:c r="Y116" s="3" t="s">
        <x:v>141</x:v>
      </x:c>
      <x:c r="Z116" s="4"/>
      <x:c r="AA116" s="1"/>
      <x:c r="AB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</x:row>
    <x:row r="117" s="2" customFormat="1" ht="15.75" hidden="0" customHeight="1">
      <x:c r="A117" s="1" t="s">
        <x:v>50</x:v>
      </x:c>
      <x:c r="B117" s="1" t="s">
        <x:v>27</x:v>
      </x:c>
      <x:c r="C117" s="1" t="s">
        <x:v>573</x:v>
      </x:c>
      <x:c r="D117" s="1" t="s">
        <x:v>574</x:v>
      </x:c>
      <x:c r="E117" s="1" t="n">
        <x:v>1690</x:v>
      </x:c>
      <x:c r="F117" s="1"/>
      <x:c r="G117" s="1"/>
      <x:c r="H117" s="1"/>
      <x:c r="I117" s="1"/>
      <x:c r="J117" s="6" t="s">
        <x:v>53</x:v>
      </x:c>
      <x:c r="K117" s="1" t="s">
        <x:v>575</x:v>
      </x:c>
      <x:c r="L117" s="3" t="s">
        <x:v>46</x:v>
      </x:c>
      <x:c r="M117" s="3" t="s">
        <x:v>131</x:v>
      </x:c>
      <x:c r="N117" s="3" t="s">
        <x:v>48</x:v>
      </x:c>
      <x:c r="O117" s="3"/>
      <x:c r="P117" s="3" t="s">
        <x:v>132</x:v>
      </x:c>
      <x:c r="Q117" s="3" t="s">
        <x:v>36</x:v>
      </x:c>
      <x:c r="R117" s="3" t="s">
        <x:v>37</x:v>
      </x:c>
      <x:c r="S117" s="3" t="s">
        <x:v>38</x:v>
      </x:c>
      <x:c r="T117" s="3" t="s">
        <x:v>39</x:v>
      </x:c>
      <x:c r="U117" s="3" t="s">
        <x:v>133</x:v>
      </x:c>
      <x:c r="V117" s="3" t="s">
        <x:v>134</x:v>
      </x:c>
      <x:c r="W117" s="3" t="n">
        <x:v>12</x:v>
      </x:c>
      <x:c r="X117" s="3" t="n">
        <x:f aca="0">IF(ISNUMBER(W117),W117*3.412142,"")</x:f>
        <x:v>40.945704</x:v>
      </x:c>
      <x:c r="Y117" s="3" t="s">
        <x:v>141</x:v>
      </x:c>
      <x:c r="Z117" s="4" t="s">
        <x:v>576</x:v>
      </x:c>
      <x:c r="AA117" s="1"/>
      <x:c r="AB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</x:row>
    <x:row r="118" s="2" customFormat="1" ht="15.75" hidden="0" customHeight="1">
      <x:c r="A118" s="1" t="s">
        <x:v>50</x:v>
      </x:c>
      <x:c r="B118" s="1" t="s">
        <x:v>27</x:v>
      </x:c>
      <x:c r="C118" s="1" t="s">
        <x:v>577</x:v>
      </x:c>
      <x:c r="D118" s="1" t="s">
        <x:v>578</x:v>
      </x:c>
      <x:c r="E118" s="1" t="n">
        <x:v>1610</x:v>
      </x:c>
      <x:c r="F118" s="1"/>
      <x:c r="G118" s="1"/>
      <x:c r="H118" s="1"/>
      <x:c r="I118" s="1"/>
      <x:c r="J118" s="6" t="s">
        <x:v>53</x:v>
      </x:c>
      <x:c r="K118" s="1" t="s">
        <x:v>579</x:v>
      </x:c>
      <x:c r="L118" s="3" t="s">
        <x:v>151</x:v>
      </x:c>
      <x:c r="M118" s="3" t="s">
        <x:v>152</x:v>
      </x:c>
      <x:c r="N118" s="3" t="s">
        <x:v>153</x:v>
      </x:c>
      <x:c r="O118" s="3"/>
      <x:c r="P118" s="3" t="s">
        <x:v>154</x:v>
      </x:c>
      <x:c r="Q118" s="3" t="s">
        <x:v>155</x:v>
      </x:c>
      <x:c r="R118" s="3" t="s">
        <x:v>156</x:v>
      </x:c>
      <x:c r="S118" s="3" t="s">
        <x:v>157</x:v>
      </x:c>
      <x:c r="T118" s="3" t="s">
        <x:v>158</x:v>
      </x:c>
      <x:c r="U118" s="3" t="s">
        <x:v>344</x:v>
      </x:c>
      <x:c r="V118" s="3" t="s">
        <x:v>270</x:v>
      </x:c>
      <x:c r="W118" s="3" t="n">
        <x:v>15</x:v>
      </x:c>
      <x:c r="X118" s="3" t="n">
        <x:f aca="0">IF(ISNUMBER(W118),W118*3.412142,"")</x:f>
        <x:v>51.182129999999994</x:v>
      </x:c>
      <x:c r="Y118" s="3" t="s">
        <x:v>345</x:v>
      </x:c>
      <x:c r="Z118" s="4" t="s">
        <x:v>580</x:v>
      </x:c>
      <x:c r="AA118" s="1"/>
      <x:c r="AB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</x:row>
    <x:row r="119" s="2" customFormat="1" ht="15.75" hidden="0" customHeight="1">
      <x:c r="A119" s="1" t="s">
        <x:v>50</x:v>
      </x:c>
      <x:c r="B119" s="1" t="s">
        <x:v>27</x:v>
      </x:c>
      <x:c r="C119" s="1" t="s">
        <x:v>581</x:v>
      </x:c>
      <x:c r="D119" s="1" t="s">
        <x:v>571</x:v>
      </x:c>
      <x:c r="E119" s="1" t="n">
        <x:v>1100</x:v>
      </x:c>
      <x:c r="F119" s="1"/>
      <x:c r="G119" s="1"/>
      <x:c r="H119" s="1"/>
      <x:c r="I119" s="1"/>
      <x:c r="J119" s="6" t="s">
        <x:v>53</x:v>
      </x:c>
      <x:c r="K119" s="1" t="s">
        <x:v>582</x:v>
      </x:c>
      <x:c r="L119" s="3" t="s">
        <x:v>46</x:v>
      </x:c>
      <x:c r="M119" s="3" t="s">
        <x:v>131</x:v>
      </x:c>
      <x:c r="N119" s="3" t="s">
        <x:v>48</x:v>
      </x:c>
      <x:c r="O119" s="3"/>
      <x:c r="P119" s="3" t="s">
        <x:v>132</x:v>
      </x:c>
      <x:c r="Q119" s="3" t="s">
        <x:v>36</x:v>
      </x:c>
      <x:c r="R119" s="3" t="s">
        <x:v>37</x:v>
      </x:c>
      <x:c r="S119" s="3" t="s">
        <x:v>38</x:v>
      </x:c>
      <x:c r="T119" s="3" t="s">
        <x:v>39</x:v>
      </x:c>
      <x:c r="U119" s="3" t="s">
        <x:v>133</x:v>
      </x:c>
      <x:c r="V119" s="3" t="s">
        <x:v>134</x:v>
      </x:c>
      <x:c r="W119" s="3" t="n">
        <x:v>12</x:v>
      </x:c>
      <x:c r="X119" s="3" t="n">
        <x:f aca="0">IF(ISNUMBER(W119),W119*3.412142,"")</x:f>
        <x:v>40.945704</x:v>
      </x:c>
      <x:c r="Y119" s="3" t="s">
        <x:v>141</x:v>
      </x:c>
      <x:c r="Z119" s="4" t="s">
        <x:v>583</x:v>
      </x:c>
      <x:c r="AA119" s="1"/>
      <x:c r="AB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</x:row>
    <x:row r="120" s="2" customFormat="1" ht="15.75" hidden="0" customHeight="1">
      <x:c r="A120" s="1" t="s">
        <x:v>50</x:v>
      </x:c>
      <x:c r="B120" s="1" t="s">
        <x:v>27</x:v>
      </x:c>
      <x:c r="C120" s="1" t="s">
        <x:v>584</x:v>
      </x:c>
      <x:c r="D120" s="1" t="s">
        <x:v>585</x:v>
      </x:c>
      <x:c r="E120" s="1" t="n">
        <x:v>2180</x:v>
      </x:c>
      <x:c r="F120" s="1"/>
      <x:c r="G120" s="1"/>
      <x:c r="H120" s="1"/>
      <x:c r="I120" s="1"/>
      <x:c r="J120" s="6" t="s">
        <x:v>53</x:v>
      </x:c>
      <x:c r="K120" s="1" t="s">
        <x:v>586</x:v>
      </x:c>
      <x:c r="L120" s="3" t="s">
        <x:v>46</x:v>
      </x:c>
      <x:c r="M120" s="3" t="s">
        <x:v>131</x:v>
      </x:c>
      <x:c r="N120" s="3" t="s">
        <x:v>48</x:v>
      </x:c>
      <x:c r="O120" s="3"/>
      <x:c r="P120" s="3" t="s">
        <x:v>132</x:v>
      </x:c>
      <x:c r="Q120" s="3" t="s">
        <x:v>36</x:v>
      </x:c>
      <x:c r="R120" s="3" t="s">
        <x:v>37</x:v>
      </x:c>
      <x:c r="S120" s="3" t="s">
        <x:v>38</x:v>
      </x:c>
      <x:c r="T120" s="3" t="s">
        <x:v>39</x:v>
      </x:c>
      <x:c r="U120" s="3" t="s">
        <x:v>133</x:v>
      </x:c>
      <x:c r="V120" s="3" t="s">
        <x:v>134</x:v>
      </x:c>
      <x:c r="W120" s="3" t="n">
        <x:v>12</x:v>
      </x:c>
      <x:c r="X120" s="3" t="n">
        <x:f aca="0">IF(ISNUMBER(W120),W120*3.412142,"")</x:f>
        <x:v>40.945704</x:v>
      </x:c>
      <x:c r="Y120" s="3" t="s">
        <x:v>141</x:v>
      </x:c>
      <x:c r="Z120" s="4" t="s">
        <x:v>587</x:v>
      </x:c>
      <x:c r="AA120" s="1"/>
      <x:c r="AB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</x:row>
    <x:row r="121" s="2" customFormat="1" ht="15.75" hidden="0" customHeight="1">
      <x:c r="A121" s="1" t="s">
        <x:v>50</x:v>
      </x:c>
      <x:c r="B121" s="1" t="s">
        <x:v>27</x:v>
      </x:c>
      <x:c r="C121" s="1" t="s">
        <x:v>588</x:v>
      </x:c>
      <x:c r="D121" s="1" t="s">
        <x:v>589</x:v>
      </x:c>
      <x:c r="E121" s="1" t="n">
        <x:v>1790</x:v>
      </x:c>
      <x:c r="F121" s="1"/>
      <x:c r="G121" s="1"/>
      <x:c r="H121" s="1"/>
      <x:c r="I121" s="1"/>
      <x:c r="J121" s="6" t="s">
        <x:v>53</x:v>
      </x:c>
      <x:c r="K121" s="1" t="s">
        <x:v>590</x:v>
      </x:c>
      <x:c r="L121" s="3" t="s">
        <x:v>46</x:v>
      </x:c>
      <x:c r="M121" s="3" t="s">
        <x:v>131</x:v>
      </x:c>
      <x:c r="N121" s="3" t="s">
        <x:v>48</x:v>
      </x:c>
      <x:c r="O121" s="3"/>
      <x:c r="P121" s="3" t="s">
        <x:v>132</x:v>
      </x:c>
      <x:c r="Q121" s="3" t="s">
        <x:v>36</x:v>
      </x:c>
      <x:c r="R121" s="3" t="s">
        <x:v>37</x:v>
      </x:c>
      <x:c r="S121" s="3" t="s">
        <x:v>38</x:v>
      </x:c>
      <x:c r="T121" s="3" t="s">
        <x:v>39</x:v>
      </x:c>
      <x:c r="U121" s="3" t="s">
        <x:v>133</x:v>
      </x:c>
      <x:c r="V121" s="3" t="s">
        <x:v>134</x:v>
      </x:c>
      <x:c r="W121" s="3" t="n">
        <x:v>12</x:v>
      </x:c>
      <x:c r="X121" s="3" t="n">
        <x:f aca="0">IF(ISNUMBER(W121),W121*3.412142,"")</x:f>
        <x:v>40.945704</x:v>
      </x:c>
      <x:c r="Y121" s="3" t="s">
        <x:v>141</x:v>
      </x:c>
      <x:c r="Z121" s="4" t="s">
        <x:v>591</x:v>
      </x:c>
      <x:c r="AA121" s="1"/>
      <x:c r="AB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</x:row>
    <x:row r="122" s="2" customFormat="1" ht="15.75" hidden="0" customHeight="1">
      <x:c r="A122" s="1" t="s">
        <x:v>50</x:v>
      </x:c>
      <x:c r="B122" s="1" t="s">
        <x:v>27</x:v>
      </x:c>
      <x:c r="C122" s="1" t="s">
        <x:v>592</x:v>
      </x:c>
      <x:c r="D122" s="1" t="s">
        <x:v>593</x:v>
      </x:c>
      <x:c r="E122" s="1" t="n">
        <x:v>2180</x:v>
      </x:c>
      <x:c r="F122" s="1"/>
      <x:c r="G122" s="1"/>
      <x:c r="H122" s="1"/>
      <x:c r="I122" s="1"/>
      <x:c r="J122" s="6" t="s">
        <x:v>53</x:v>
      </x:c>
      <x:c r="K122" s="1" t="s">
        <x:v>594</x:v>
      </x:c>
      <x:c r="L122" s="3" t="s">
        <x:v>46</x:v>
      </x:c>
      <x:c r="M122" s="3" t="s">
        <x:v>131</x:v>
      </x:c>
      <x:c r="N122" s="3" t="s">
        <x:v>48</x:v>
      </x:c>
      <x:c r="O122" s="3"/>
      <x:c r="P122" s="3" t="s">
        <x:v>132</x:v>
      </x:c>
      <x:c r="Q122" s="3" t="s">
        <x:v>36</x:v>
      </x:c>
      <x:c r="R122" s="3" t="s">
        <x:v>37</x:v>
      </x:c>
      <x:c r="S122" s="3" t="s">
        <x:v>38</x:v>
      </x:c>
      <x:c r="T122" s="3" t="s">
        <x:v>39</x:v>
      </x:c>
      <x:c r="U122" s="3" t="s">
        <x:v>133</x:v>
      </x:c>
      <x:c r="V122" s="3" t="s">
        <x:v>134</x:v>
      </x:c>
      <x:c r="W122" s="3" t="n">
        <x:v>12</x:v>
      </x:c>
      <x:c r="X122" s="3" t="n">
        <x:f aca="0">IF(ISNUMBER(W122),W122*3.412142,"")</x:f>
        <x:v>40.945704</x:v>
      </x:c>
      <x:c r="Y122" s="3" t="s">
        <x:v>141</x:v>
      </x:c>
      <x:c r="Z122" s="4" t="s">
        <x:v>595</x:v>
      </x:c>
      <x:c r="AA122" s="1"/>
      <x:c r="AB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</x:row>
    <x:row r="123" s="2" customFormat="1" ht="15.75" hidden="0" customHeight="1">
      <x:c r="A123" s="1" t="s">
        <x:v>50</x:v>
      </x:c>
      <x:c r="B123" s="1" t="s">
        <x:v>27</x:v>
      </x:c>
      <x:c r="C123" s="1" t="s">
        <x:v>596</x:v>
      </x:c>
      <x:c r="D123" s="1" t="s">
        <x:v>597</x:v>
      </x:c>
      <x:c r="E123" s="1" t="n">
        <x:v>5340</x:v>
      </x:c>
      <x:c r="F123" s="1"/>
      <x:c r="G123" s="1"/>
      <x:c r="H123" s="1"/>
      <x:c r="I123" s="1"/>
      <x:c r="J123" s="6" t="s">
        <x:v>53</x:v>
      </x:c>
      <x:c r="K123" s="1" t="s">
        <x:v>598</x:v>
      </x:c>
      <x:c r="L123" s="3" t="s">
        <x:v>599</x:v>
      </x:c>
      <x:c r="M123" s="3" t="s">
        <x:v>600</x:v>
      </x:c>
      <x:c r="N123" s="3" t="s">
        <x:v>601</x:v>
      </x:c>
      <x:c r="O123" s="3"/>
      <x:c r="P123" s="3" t="s">
        <x:v>154</x:v>
      </x:c>
      <x:c r="Q123" s="3" t="s">
        <x:v>602</x:v>
      </x:c>
      <x:c r="R123" s="3" t="s">
        <x:v>156</x:v>
      </x:c>
      <x:c r="S123" s="3" t="s">
        <x:v>603</x:v>
      </x:c>
      <x:c r="T123" s="3" t="s">
        <x:v>158</x:v>
      </x:c>
      <x:c r="U123" s="3" t="s">
        <x:v>604</x:v>
      </x:c>
      <x:c r="V123" s="3" t="s">
        <x:v>318</x:v>
      </x:c>
      <x:c r="W123" s="3"/>
      <x:c r="X123" s="3" t="str">
        <x:f aca="0">IF(ISNUMBER(W123),W123*3.412142,"")</x:f>
      </x:c>
      <x:c r="Y123" s="3" t="s">
        <x:v>605</x:v>
      </x:c>
      <x:c r="Z123" s="4"/>
      <x:c r="AA123" s="1"/>
      <x:c r="AB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</x:row>
    <x:row r="124" s="2" customFormat="1" ht="15.75" hidden="0" customHeight="1">
      <x:c r="A124" s="1" t="s">
        <x:v>50</x:v>
      </x:c>
      <x:c r="B124" s="1" t="s">
        <x:v>27</x:v>
      </x:c>
      <x:c r="C124" s="1" t="s">
        <x:v>606</x:v>
      </x:c>
      <x:c r="D124" s="1" t="s">
        <x:v>607</x:v>
      </x:c>
      <x:c r="E124" s="1" t="n">
        <x:v>3150</x:v>
      </x:c>
      <x:c r="F124" s="1"/>
      <x:c r="G124" s="1"/>
      <x:c r="H124" s="1"/>
      <x:c r="I124" s="1"/>
      <x:c r="J124" s="6" t="s">
        <x:v>53</x:v>
      </x:c>
      <x:c r="K124" s="1" t="s">
        <x:v>608</x:v>
      </x:c>
      <x:c r="L124" s="3" t="s">
        <x:v>599</x:v>
      </x:c>
      <x:c r="M124" s="3" t="s">
        <x:v>600</x:v>
      </x:c>
      <x:c r="N124" s="3" t="s">
        <x:v>601</x:v>
      </x:c>
      <x:c r="O124" s="3"/>
      <x:c r="P124" s="3" t="s">
        <x:v>154</x:v>
      </x:c>
      <x:c r="Q124" s="3" t="s">
        <x:v>602</x:v>
      </x:c>
      <x:c r="R124" s="3" t="s">
        <x:v>156</x:v>
      </x:c>
      <x:c r="S124" s="3" t="s">
        <x:v>603</x:v>
      </x:c>
      <x:c r="T124" s="3" t="s">
        <x:v>158</x:v>
      </x:c>
      <x:c r="U124" s="3" t="s">
        <x:v>604</x:v>
      </x:c>
      <x:c r="V124" s="3" t="s">
        <x:v>318</x:v>
      </x:c>
      <x:c r="W124" s="3"/>
      <x:c r="X124" s="3" t="str">
        <x:f aca="0">IF(ISNUMBER(W124),W124*3.412142,"")</x:f>
      </x:c>
      <x:c r="Y124" s="3" t="s">
        <x:v>605</x:v>
      </x:c>
      <x:c r="Z124" s="4"/>
      <x:c r="AA124" s="1"/>
      <x:c r="AB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</x:row>
    <x:row r="125" s="2" customFormat="1" ht="15.75" hidden="0" customHeight="1">
      <x:c r="A125" s="1" t="s">
        <x:v>50</x:v>
      </x:c>
      <x:c r="B125" s="1" t="s">
        <x:v>27</x:v>
      </x:c>
      <x:c r="C125" s="1" t="s">
        <x:v>609</x:v>
      </x:c>
      <x:c r="D125" s="1" t="s">
        <x:v>610</x:v>
      </x:c>
      <x:c r="E125" s="1" t="n">
        <x:v>3880</x:v>
      </x:c>
      <x:c r="F125" s="1"/>
      <x:c r="G125" s="1"/>
      <x:c r="H125" s="1"/>
      <x:c r="I125" s="1"/>
      <x:c r="J125" s="6" t="s">
        <x:v>53</x:v>
      </x:c>
      <x:c r="K125" s="1" t="s">
        <x:v>611</x:v>
      </x:c>
      <x:c r="L125" s="3" t="s">
        <x:v>599</x:v>
      </x:c>
      <x:c r="M125" s="3" t="s">
        <x:v>600</x:v>
      </x:c>
      <x:c r="N125" s="3" t="s">
        <x:v>601</x:v>
      </x:c>
      <x:c r="O125" s="3"/>
      <x:c r="P125" s="3" t="s">
        <x:v>154</x:v>
      </x:c>
      <x:c r="Q125" s="3" t="s">
        <x:v>602</x:v>
      </x:c>
      <x:c r="R125" s="3" t="s">
        <x:v>156</x:v>
      </x:c>
      <x:c r="S125" s="3" t="s">
        <x:v>603</x:v>
      </x:c>
      <x:c r="T125" s="3" t="s">
        <x:v>158</x:v>
      </x:c>
      <x:c r="U125" s="3" t="s">
        <x:v>40</x:v>
      </x:c>
      <x:c r="V125" s="3" t="s">
        <x:v>41</x:v>
      </x:c>
      <x:c r="W125" s="3" t="n">
        <x:v>100</x:v>
      </x:c>
      <x:c r="X125" s="3" t="n">
        <x:f aca="0">IF(ISNUMBER(W125),W125*3.412142,"")</x:f>
        <x:v>341.2142</x:v>
      </x:c>
      <x:c r="Y125" s="3" t="s">
        <x:v>42</x:v>
      </x:c>
      <x:c r="Z125" s="4" t="s">
        <x:v>612</x:v>
      </x:c>
      <x:c r="AA125" s="1"/>
      <x:c r="AB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</x:row>
    <x:row r="126" s="2" customFormat="1" ht="15.75" hidden="0" customHeight="1">
      <x:c r="A126" s="1" t="s">
        <x:v>50</x:v>
      </x:c>
      <x:c r="B126" s="1" t="s">
        <x:v>27</x:v>
      </x:c>
      <x:c r="C126" s="1" t="s">
        <x:v>613</x:v>
      </x:c>
      <x:c r="D126" s="1" t="s">
        <x:v>614</x:v>
      </x:c>
      <x:c r="E126" s="1" t="n">
        <x:v>1940</x:v>
      </x:c>
      <x:c r="F126" s="1"/>
      <x:c r="G126" s="1"/>
      <x:c r="H126" s="1"/>
      <x:c r="I126" s="1"/>
      <x:c r="J126" s="6" t="s">
        <x:v>53</x:v>
      </x:c>
      <x:c r="K126" s="1" t="s">
        <x:v>615</x:v>
      </x:c>
      <x:c r="L126" s="3" t="s">
        <x:v>599</x:v>
      </x:c>
      <x:c r="M126" s="3" t="s">
        <x:v>600</x:v>
      </x:c>
      <x:c r="N126" s="3" t="s">
        <x:v>601</x:v>
      </x:c>
      <x:c r="O126" s="3"/>
      <x:c r="P126" s="3" t="s">
        <x:v>154</x:v>
      </x:c>
      <x:c r="Q126" s="3" t="s">
        <x:v>602</x:v>
      </x:c>
      <x:c r="R126" s="3" t="s">
        <x:v>156</x:v>
      </x:c>
      <x:c r="S126" s="3" t="s">
        <x:v>603</x:v>
      </x:c>
      <x:c r="T126" s="3" t="s">
        <x:v>158</x:v>
      </x:c>
      <x:c r="U126" s="3" t="s">
        <x:v>40</x:v>
      </x:c>
      <x:c r="V126" s="3" t="s">
        <x:v>41</x:v>
      </x:c>
      <x:c r="W126" s="3" t="n">
        <x:v>100</x:v>
      </x:c>
      <x:c r="X126" s="3" t="n">
        <x:f aca="0">IF(ISNUMBER(W126),W126*3.412142,"")</x:f>
        <x:v>341.2142</x:v>
      </x:c>
      <x:c r="Y126" s="3" t="s">
        <x:v>42</x:v>
      </x:c>
      <x:c r="Z126" s="4" t="s">
        <x:v>616</x:v>
      </x:c>
      <x:c r="AA126" s="1"/>
      <x:c r="AB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</x:row>
    <x:row r="127" s="2" customFormat="1" ht="15.75" hidden="0" customHeight="1">
      <x:c r="A127" s="1" t="s">
        <x:v>50</x:v>
      </x:c>
      <x:c r="B127" s="1" t="s">
        <x:v>27</x:v>
      </x:c>
      <x:c r="C127" s="1" t="s">
        <x:v>617</x:v>
      </x:c>
      <x:c r="D127" s="1" t="s">
        <x:v>618</x:v>
      </x:c>
      <x:c r="E127" s="1" t="n">
        <x:v>7270</x:v>
      </x:c>
      <x:c r="F127" s="1"/>
      <x:c r="G127" s="1"/>
      <x:c r="H127" s="1"/>
      <x:c r="I127" s="1"/>
      <x:c r="J127" s="6" t="s">
        <x:v>53</x:v>
      </x:c>
      <x:c r="K127" s="1" t="s">
        <x:v>619</x:v>
      </x:c>
      <x:c r="L127" s="3" t="s">
        <x:v>599</x:v>
      </x:c>
      <x:c r="M127" s="3" t="s">
        <x:v>600</x:v>
      </x:c>
      <x:c r="N127" s="3" t="s">
        <x:v>601</x:v>
      </x:c>
      <x:c r="O127" s="3"/>
      <x:c r="P127" s="3" t="s">
        <x:v>154</x:v>
      </x:c>
      <x:c r="Q127" s="3" t="s">
        <x:v>602</x:v>
      </x:c>
      <x:c r="R127" s="3" t="s">
        <x:v>156</x:v>
      </x:c>
      <x:c r="S127" s="3" t="s">
        <x:v>603</x:v>
      </x:c>
      <x:c r="T127" s="3" t="s">
        <x:v>158</x:v>
      </x:c>
      <x:c r="U127" s="3" t="s">
        <x:v>604</x:v>
      </x:c>
      <x:c r="V127" s="3" t="s">
        <x:v>318</x:v>
      </x:c>
      <x:c r="W127" s="3"/>
      <x:c r="X127" s="3" t="str">
        <x:f aca="0">IF(ISNUMBER(W127),W127*3.412142,"")</x:f>
      </x:c>
      <x:c r="Y127" s="3" t="s">
        <x:v>605</x:v>
      </x:c>
      <x:c r="Z127" s="4" t="s">
        <x:v>620</x:v>
      </x:c>
      <x:c r="AA127" s="1"/>
      <x:c r="AB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</x:row>
    <x:row r="128" s="2" customFormat="1" ht="15.75" hidden="0" customHeight="1">
      <x:c r="A128" s="1" t="s">
        <x:v>50</x:v>
      </x:c>
      <x:c r="B128" s="1" t="s">
        <x:v>27</x:v>
      </x:c>
      <x:c r="C128" s="1" t="s">
        <x:v>621</x:v>
      </x:c>
      <x:c r="D128" s="1" t="s">
        <x:v>622</x:v>
      </x:c>
      <x:c r="E128" s="1" t="n">
        <x:v>4360</x:v>
      </x:c>
      <x:c r="F128" s="1"/>
      <x:c r="G128" s="1"/>
      <x:c r="H128" s="1"/>
      <x:c r="I128" s="1"/>
      <x:c r="J128" s="6" t="s">
        <x:v>53</x:v>
      </x:c>
      <x:c r="K128" s="1" t="s">
        <x:v>623</x:v>
      </x:c>
      <x:c r="L128" s="3" t="s">
        <x:v>599</x:v>
      </x:c>
      <x:c r="M128" s="3" t="s">
        <x:v>600</x:v>
      </x:c>
      <x:c r="N128" s="3" t="s">
        <x:v>601</x:v>
      </x:c>
      <x:c r="O128" s="3"/>
      <x:c r="P128" s="3" t="s">
        <x:v>154</x:v>
      </x:c>
      <x:c r="Q128" s="3" t="s">
        <x:v>602</x:v>
      </x:c>
      <x:c r="R128" s="3" t="s">
        <x:v>156</x:v>
      </x:c>
      <x:c r="S128" s="3" t="s">
        <x:v>603</x:v>
      </x:c>
      <x:c r="T128" s="3" t="s">
        <x:v>158</x:v>
      </x:c>
      <x:c r="U128" s="3" t="s">
        <x:v>604</x:v>
      </x:c>
      <x:c r="V128" s="3" t="s">
        <x:v>318</x:v>
      </x:c>
      <x:c r="W128" s="3"/>
      <x:c r="X128" s="3" t="str">
        <x:f aca="0">IF(ISNUMBER(W128),W128*3.412142,"")</x:f>
      </x:c>
      <x:c r="Y128" s="3" t="s">
        <x:v>605</x:v>
      </x:c>
      <x:c r="Z128" s="4" t="s">
        <x:v>624</x:v>
      </x:c>
      <x:c r="AA128" s="1"/>
      <x:c r="AB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</x:row>
    <x:row r="129" s="2" customFormat="1" ht="15.75" hidden="0" customHeight="1">
      <x:c r="A129" s="1" t="s">
        <x:v>50</x:v>
      </x:c>
      <x:c r="B129" s="1" t="s">
        <x:v>27</x:v>
      </x:c>
      <x:c r="C129" s="1" t="s">
        <x:v>625</x:v>
      </x:c>
      <x:c r="D129" s="1" t="s">
        <x:v>626</x:v>
      </x:c>
      <x:c r="E129" s="1" t="n">
        <x:v>3640</x:v>
      </x:c>
      <x:c r="F129" s="1"/>
      <x:c r="G129" s="1"/>
      <x:c r="H129" s="1"/>
      <x:c r="I129" s="1"/>
      <x:c r="J129" s="6" t="s">
        <x:v>53</x:v>
      </x:c>
      <x:c r="K129" s="1" t="s">
        <x:v>627</x:v>
      </x:c>
      <x:c r="L129" s="3" t="s">
        <x:v>599</x:v>
      </x:c>
      <x:c r="M129" s="3" t="s">
        <x:v>600</x:v>
      </x:c>
      <x:c r="N129" s="3" t="s">
        <x:v>601</x:v>
      </x:c>
      <x:c r="O129" s="3"/>
      <x:c r="P129" s="3" t="s">
        <x:v>154</x:v>
      </x:c>
      <x:c r="Q129" s="3" t="s">
        <x:v>602</x:v>
      </x:c>
      <x:c r="R129" s="3" t="s">
        <x:v>156</x:v>
      </x:c>
      <x:c r="S129" s="3" t="s">
        <x:v>603</x:v>
      </x:c>
      <x:c r="T129" s="3" t="s">
        <x:v>158</x:v>
      </x:c>
      <x:c r="U129" s="3" t="s">
        <x:v>604</x:v>
      </x:c>
      <x:c r="V129" s="3" t="s">
        <x:v>318</x:v>
      </x:c>
      <x:c r="W129" s="3"/>
      <x:c r="X129" s="3" t="str">
        <x:f aca="0">IF(ISNUMBER(W129),W129*3.412142,"")</x:f>
      </x:c>
      <x:c r="Y129" s="3" t="s">
        <x:v>605</x:v>
      </x:c>
      <x:c r="Z129" s="4" t="s">
        <x:v>628</x:v>
      </x:c>
      <x:c r="AA129" s="1"/>
      <x:c r="AB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</x:row>
    <x:row r="130" s="2" customFormat="1" ht="15.75" hidden="0" customHeight="1">
      <x:c r="A130" s="1" t="s">
        <x:v>50</x:v>
      </x:c>
      <x:c r="B130" s="1" t="s">
        <x:v>27</x:v>
      </x:c>
      <x:c r="C130" s="1" t="s">
        <x:v>629</x:v>
      </x:c>
      <x:c r="D130" s="1" t="s">
        <x:v>630</x:v>
      </x:c>
      <x:c r="E130" s="1" t="n">
        <x:v>2390</x:v>
      </x:c>
      <x:c r="F130" s="1"/>
      <x:c r="G130" s="1"/>
      <x:c r="H130" s="1"/>
      <x:c r="I130" s="1"/>
      <x:c r="J130" s="6" t="s">
        <x:v>53</x:v>
      </x:c>
      <x:c r="K130" s="1" t="s">
        <x:v>631</x:v>
      </x:c>
      <x:c r="L130" s="3" t="s">
        <x:v>55</x:v>
      </x:c>
      <x:c r="M130" s="3" t="s">
        <x:v>63</x:v>
      </x:c>
      <x:c r="N130" s="3" t="s">
        <x:v>118</x:v>
      </x:c>
      <x:c r="O130" s="3"/>
      <x:c r="P130" s="3" t="s">
        <x:v>119</x:v>
      </x:c>
      <x:c r="Q130" s="3" t="s">
        <x:v>66</x:v>
      </x:c>
      <x:c r="R130" s="3" t="s">
        <x:v>67</x:v>
      </x:c>
      <x:c r="S130" s="3" t="s">
        <x:v>68</x:v>
      </x:c>
      <x:c r="T130" s="3" t="s">
        <x:v>39</x:v>
      </x:c>
      <x:c r="U130" s="3" t="s">
        <x:v>40</x:v>
      </x:c>
      <x:c r="V130" s="3" t="s">
        <x:v>41</x:v>
      </x:c>
      <x:c r="W130" s="3" t="n">
        <x:v>100</x:v>
      </x:c>
      <x:c r="X130" s="3" t="n">
        <x:f aca="0">IF(ISNUMBER(W130),W130*3.412142,"")</x:f>
        <x:v>341.2142</x:v>
      </x:c>
      <x:c r="Y130" s="3" t="s">
        <x:v>42</x:v>
      </x:c>
      <x:c r="Z130" s="4"/>
      <x:c r="AA130" s="1"/>
      <x:c r="AB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</x:row>
    <x:row r="131" s="2" customFormat="1" ht="15.75" hidden="0" customHeight="1">
      <x:c r="A131" s="1" t="s">
        <x:v>50</x:v>
      </x:c>
      <x:c r="B131" s="1" t="s">
        <x:v>27</x:v>
      </x:c>
      <x:c r="C131" s="1" t="s">
        <x:v>632</x:v>
      </x:c>
      <x:c r="D131" s="1" t="s">
        <x:v>633</x:v>
      </x:c>
      <x:c r="E131" s="1" t="n">
        <x:v>4990</x:v>
      </x:c>
      <x:c r="F131" s="1"/>
      <x:c r="G131" s="1"/>
      <x:c r="H131" s="1"/>
      <x:c r="I131" s="1"/>
      <x:c r="J131" s="6" t="s">
        <x:v>53</x:v>
      </x:c>
      <x:c r="K131" s="1" t="s">
        <x:v>634</x:v>
      </x:c>
      <x:c r="L131" s="3" t="s">
        <x:v>55</x:v>
      </x:c>
      <x:c r="M131" s="3" t="s">
        <x:v>63</x:v>
      </x:c>
      <x:c r="N131" s="3" t="s">
        <x:v>118</x:v>
      </x:c>
      <x:c r="O131" s="3"/>
      <x:c r="P131" s="3" t="s">
        <x:v>119</x:v>
      </x:c>
      <x:c r="Q131" s="3" t="s">
        <x:v>66</x:v>
      </x:c>
      <x:c r="R131" s="3" t="s">
        <x:v>67</x:v>
      </x:c>
      <x:c r="S131" s="3" t="s">
        <x:v>68</x:v>
      </x:c>
      <x:c r="T131" s="3" t="s">
        <x:v>39</x:v>
      </x:c>
      <x:c r="U131" s="3" t="s">
        <x:v>40</x:v>
      </x:c>
      <x:c r="V131" s="3" t="s">
        <x:v>41</x:v>
      </x:c>
      <x:c r="W131" s="3" t="n">
        <x:v>100</x:v>
      </x:c>
      <x:c r="X131" s="3" t="n">
        <x:f aca="0">IF(ISNUMBER(W131),W131*3.412142,"")</x:f>
        <x:v>341.2142</x:v>
      </x:c>
      <x:c r="Y131" s="3" t="s">
        <x:v>42</x:v>
      </x:c>
      <x:c r="Z131" s="4" t="s">
        <x:v>635</x:v>
      </x:c>
      <x:c r="AA131" s="1"/>
      <x:c r="AB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</x:row>
    <x:row r="132" s="2" customFormat="1" ht="15.75" hidden="0" customHeight="1">
      <x:c r="A132" s="1" t="s">
        <x:v>50</x:v>
      </x:c>
      <x:c r="B132" s="1" t="s">
        <x:v>27</x:v>
      </x:c>
      <x:c r="C132" s="1" t="s">
        <x:v>636</x:v>
      </x:c>
      <x:c r="D132" s="1" t="s">
        <x:v>637</x:v>
      </x:c>
      <x:c r="E132" s="1" t="n">
        <x:v>7420</x:v>
      </x:c>
      <x:c r="F132" s="1"/>
      <x:c r="G132" s="1"/>
      <x:c r="H132" s="1"/>
      <x:c r="I132" s="1"/>
      <x:c r="J132" s="6" t="s">
        <x:v>53</x:v>
      </x:c>
      <x:c r="K132" s="1" t="s">
        <x:v>638</x:v>
      </x:c>
      <x:c r="L132" s="3" t="s">
        <x:v>55</x:v>
      </x:c>
      <x:c r="M132" s="3" t="s">
        <x:v>63</x:v>
      </x:c>
      <x:c r="N132" s="3" t="s">
        <x:v>118</x:v>
      </x:c>
      <x:c r="O132" s="3"/>
      <x:c r="P132" s="3" t="s">
        <x:v>119</x:v>
      </x:c>
      <x:c r="Q132" s="3" t="s">
        <x:v>66</x:v>
      </x:c>
      <x:c r="R132" s="3" t="s">
        <x:v>67</x:v>
      </x:c>
      <x:c r="S132" s="3" t="s">
        <x:v>68</x:v>
      </x:c>
      <x:c r="T132" s="3" t="s">
        <x:v>39</x:v>
      </x:c>
      <x:c r="U132" s="3" t="s">
        <x:v>40</x:v>
      </x:c>
      <x:c r="V132" s="3" t="s">
        <x:v>41</x:v>
      </x:c>
      <x:c r="W132" s="3" t="n">
        <x:v>100</x:v>
      </x:c>
      <x:c r="X132" s="3" t="n">
        <x:f aca="0">IF(ISNUMBER(W132),W132*3.412142,"")</x:f>
        <x:v>341.2142</x:v>
      </x:c>
      <x:c r="Y132" s="3" t="s">
        <x:v>42</x:v>
      </x:c>
      <x:c r="Z132" s="4" t="s">
        <x:v>639</x:v>
      </x:c>
      <x:c r="AA132" s="1"/>
      <x:c r="AB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</x:row>
    <x:row r="133" s="2" customFormat="1" ht="15.75" hidden="0" customHeight="1">
      <x:c r="A133" s="1" t="s">
        <x:v>175</x:v>
      </x:c>
      <x:c r="B133" s="1" t="s">
        <x:v>27</x:v>
      </x:c>
      <x:c r="C133" s="1" t="s">
        <x:v>640</x:v>
      </x:c>
      <x:c r="D133" s="1" t="s">
        <x:v>641</x:v>
      </x:c>
      <x:c r="E133" s="1" t="n">
        <x:v>2910</x:v>
      </x:c>
      <x:c r="F133" s="1"/>
      <x:c r="G133" s="1"/>
      <x:c r="H133" s="1"/>
      <x:c r="I133" s="1"/>
      <x:c r="J133" s="10" t="s">
        <x:v>178</x:v>
      </x:c>
      <x:c r="K133" s="1" t="s">
        <x:v>642</x:v>
      </x:c>
      <x:c r="L133" s="3" t="s">
        <x:v>46</x:v>
      </x:c>
      <x:c r="M133" s="3" t="s">
        <x:v>131</x:v>
      </x:c>
      <x:c r="N133" s="3" t="s">
        <x:v>48</x:v>
      </x:c>
      <x:c r="O133" s="3"/>
      <x:c r="P133" s="3" t="s">
        <x:v>132</x:v>
      </x:c>
      <x:c r="Q133" s="3" t="s">
        <x:v>36</x:v>
      </x:c>
      <x:c r="R133" s="3" t="s">
        <x:v>37</x:v>
      </x:c>
      <x:c r="S133" s="3" t="s">
        <x:v>38</x:v>
      </x:c>
      <x:c r="T133" s="3" t="s">
        <x:v>39</x:v>
      </x:c>
      <x:c r="U133" s="3" t="s">
        <x:v>180</x:v>
      </x:c>
      <x:c r="V133" s="3" t="s">
        <x:v>181</x:v>
      </x:c>
      <x:c r="W133" s="3" t="n">
        <x:v>25.5</x:v>
      </x:c>
      <x:c r="X133" s="3" t="n">
        <x:f aca="0">IF(ISNUMBER(W133),W133*3.412142,"")</x:f>
        <x:v>87.009621</x:v>
      </x:c>
      <x:c r="Y133" s="3" t="s">
        <x:v>182</x:v>
      </x:c>
      <x:c r="Z133" s="4"/>
      <x:c r="AA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</x:row>
    <x:row r="134" s="2" customFormat="1" ht="15.75" hidden="0" customHeight="1">
      <x:c r="A134" s="1" t="s">
        <x:v>175</x:v>
      </x:c>
      <x:c r="B134" s="1" t="s">
        <x:v>27</x:v>
      </x:c>
      <x:c r="C134" s="1" t="s">
        <x:v>643</x:v>
      </x:c>
      <x:c r="D134" s="1" t="s">
        <x:v>644</x:v>
      </x:c>
      <x:c r="E134" s="1" t="n">
        <x:v>3150</x:v>
      </x:c>
      <x:c r="F134" s="1"/>
      <x:c r="G134" s="1"/>
      <x:c r="H134" s="1"/>
      <x:c r="I134" s="1"/>
      <x:c r="J134" s="10" t="s">
        <x:v>178</x:v>
      </x:c>
      <x:c r="K134" s="1" t="s">
        <x:v>645</x:v>
      </x:c>
      <x:c r="L134" s="3" t="s">
        <x:v>46</x:v>
      </x:c>
      <x:c r="M134" s="3" t="s">
        <x:v>131</x:v>
      </x:c>
      <x:c r="N134" s="3" t="s">
        <x:v>48</x:v>
      </x:c>
      <x:c r="O134" s="3"/>
      <x:c r="P134" s="3" t="s">
        <x:v>132</x:v>
      </x:c>
      <x:c r="Q134" s="3" t="s">
        <x:v>36</x:v>
      </x:c>
      <x:c r="R134" s="3" t="s">
        <x:v>37</x:v>
      </x:c>
      <x:c r="S134" s="3" t="s">
        <x:v>38</x:v>
      </x:c>
      <x:c r="T134" s="3" t="s">
        <x:v>39</x:v>
      </x:c>
      <x:c r="U134" s="3" t="s">
        <x:v>180</x:v>
      </x:c>
      <x:c r="V134" s="3" t="s">
        <x:v>181</x:v>
      </x:c>
      <x:c r="W134" s="3" t="n">
        <x:v>25.5</x:v>
      </x:c>
      <x:c r="X134" s="3" t="n">
        <x:f aca="0">IF(ISNUMBER(W134),W134*3.412142,"")</x:f>
        <x:v>87.009621</x:v>
      </x:c>
      <x:c r="Y134" s="3" t="s">
        <x:v>182</x:v>
      </x:c>
      <x:c r="Z134" s="4" t="s">
        <x:v>646</x:v>
      </x:c>
      <x:c r="AA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</x:row>
    <x:row r="135" s="2" customFormat="1" ht="15.75" hidden="0" customHeight="1">
      <x:c r="A135" s="1" t="s">
        <x:v>175</x:v>
      </x:c>
      <x:c r="B135" s="1" t="s">
        <x:v>27</x:v>
      </x:c>
      <x:c r="C135" s="1" t="s">
        <x:v>647</x:v>
      </x:c>
      <x:c r="D135" s="1" t="s">
        <x:v>648</x:v>
      </x:c>
      <x:c r="E135" s="1" t="n">
        <x:v>3880</x:v>
      </x:c>
      <x:c r="F135" s="1"/>
      <x:c r="G135" s="1"/>
      <x:c r="H135" s="1"/>
      <x:c r="I135" s="1"/>
      <x:c r="J135" s="10" t="s">
        <x:v>178</x:v>
      </x:c>
      <x:c r="K135" s="1" t="s">
        <x:v>649</x:v>
      </x:c>
      <x:c r="L135" s="3" t="s">
        <x:v>151</x:v>
      </x:c>
      <x:c r="M135" s="3" t="s">
        <x:v>152</x:v>
      </x:c>
      <x:c r="N135" s="3" t="s">
        <x:v>153</x:v>
      </x:c>
      <x:c r="O135" s="3"/>
      <x:c r="P135" s="3" t="s">
        <x:v>154</x:v>
      </x:c>
      <x:c r="Q135" s="3" t="s">
        <x:v>155</x:v>
      </x:c>
      <x:c r="R135" s="3" t="s">
        <x:v>156</x:v>
      </x:c>
      <x:c r="S135" s="3" t="s">
        <x:v>157</x:v>
      </x:c>
      <x:c r="T135" s="3" t="s">
        <x:v>158</x:v>
      </x:c>
      <x:c r="U135" s="3" t="s">
        <x:v>180</x:v>
      </x:c>
      <x:c r="V135" s="3" t="s">
        <x:v>270</x:v>
      </x:c>
      <x:c r="W135" s="3" t="n">
        <x:v>15.4</x:v>
      </x:c>
      <x:c r="X135" s="3" t="n">
        <x:f aca="0">IF(ISNUMBER(W135),W135*3.412142,"")</x:f>
        <x:v>52.5469868</x:v>
      </x:c>
      <x:c r="Y135" s="3" t="s">
        <x:v>650</x:v>
      </x:c>
      <x:c r="Z135" s="4" t="s">
        <x:v>651</x:v>
      </x:c>
      <x:c r="AA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</x:row>
    <x:row r="136" s="2" customFormat="1" ht="15.75" hidden="0" customHeight="1">
      <x:c r="A136" s="1" t="s">
        <x:v>175</x:v>
      </x:c>
      <x:c r="B136" s="1" t="s">
        <x:v>27</x:v>
      </x:c>
      <x:c r="C136" s="1" t="s">
        <x:v>652</x:v>
      </x:c>
      <x:c r="D136" s="1" t="s">
        <x:v>653</x:v>
      </x:c>
      <x:c r="E136" s="1" t="n">
        <x:v>4120</x:v>
      </x:c>
      <x:c r="F136" s="1"/>
      <x:c r="G136" s="1"/>
      <x:c r="H136" s="1"/>
      <x:c r="I136" s="1"/>
      <x:c r="J136" s="10" t="s">
        <x:v>178</x:v>
      </x:c>
      <x:c r="K136" s="1" t="s">
        <x:v>654</x:v>
      </x:c>
      <x:c r="L136" s="3" t="s">
        <x:v>151</x:v>
      </x:c>
      <x:c r="M136" s="3" t="s">
        <x:v>152</x:v>
      </x:c>
      <x:c r="N136" s="3" t="s">
        <x:v>153</x:v>
      </x:c>
      <x:c r="O136" s="3"/>
      <x:c r="P136" s="3" t="s">
        <x:v>154</x:v>
      </x:c>
      <x:c r="Q136" s="3" t="s">
        <x:v>155</x:v>
      </x:c>
      <x:c r="R136" s="3" t="s">
        <x:v>156</x:v>
      </x:c>
      <x:c r="S136" s="3" t="s">
        <x:v>157</x:v>
      </x:c>
      <x:c r="T136" s="3" t="s">
        <x:v>158</x:v>
      </x:c>
      <x:c r="U136" s="3" t="s">
        <x:v>180</x:v>
      </x:c>
      <x:c r="V136" s="3" t="s">
        <x:v>270</x:v>
      </x:c>
      <x:c r="W136" s="3" t="n">
        <x:v>15.4</x:v>
      </x:c>
      <x:c r="X136" s="3" t="n">
        <x:f aca="0">IF(ISNUMBER(W136),W136*3.412142,"")</x:f>
        <x:v>52.5469868</x:v>
      </x:c>
      <x:c r="Y136" s="3" t="s">
        <x:v>650</x:v>
      </x:c>
      <x:c r="Z136" s="4" t="s">
        <x:v>655</x:v>
      </x:c>
      <x:c r="AA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</x:row>
    <x:row r="137" s="2" customFormat="1" ht="15.75" hidden="0" customHeight="1">
      <x:c r="A137" s="1" t="s">
        <x:v>175</x:v>
      </x:c>
      <x:c r="B137" s="1" t="s">
        <x:v>27</x:v>
      </x:c>
      <x:c r="C137" s="1" t="s">
        <x:v>656</x:v>
      </x:c>
      <x:c r="D137" s="1" t="s">
        <x:v>657</x:v>
      </x:c>
      <x:c r="E137" s="1" t="n">
        <x:v>3520</x:v>
      </x:c>
      <x:c r="F137" s="1"/>
      <x:c r="G137" s="1"/>
      <x:c r="H137" s="1"/>
      <x:c r="I137" s="1"/>
      <x:c r="J137" s="10" t="s">
        <x:v>178</x:v>
      </x:c>
      <x:c r="K137" s="1" t="s">
        <x:v>658</x:v>
      </x:c>
      <x:c r="L137" s="3" t="s">
        <x:v>46</x:v>
      </x:c>
      <x:c r="M137" s="3" t="s">
        <x:v>131</x:v>
      </x:c>
      <x:c r="N137" s="3" t="s">
        <x:v>48</x:v>
      </x:c>
      <x:c r="O137" s="3"/>
      <x:c r="P137" s="3" t="s">
        <x:v>132</x:v>
      </x:c>
      <x:c r="Q137" s="3" t="s">
        <x:v>36</x:v>
      </x:c>
      <x:c r="R137" s="3" t="s">
        <x:v>37</x:v>
      </x:c>
      <x:c r="S137" s="3" t="s">
        <x:v>38</x:v>
      </x:c>
      <x:c r="T137" s="3" t="s">
        <x:v>39</x:v>
      </x:c>
      <x:c r="U137" s="3" t="s">
        <x:v>180</x:v>
      </x:c>
      <x:c r="V137" s="3" t="s">
        <x:v>181</x:v>
      </x:c>
      <x:c r="W137" s="3" t="n">
        <x:v>25.5</x:v>
      </x:c>
      <x:c r="X137" s="3" t="n">
        <x:f aca="0">IF(ISNUMBER(W137),W137*3.412142,"")</x:f>
        <x:v>87.009621</x:v>
      </x:c>
      <x:c r="Y137" s="3" t="s">
        <x:v>182</x:v>
      </x:c>
      <x:c r="Z137" s="4" t="s">
        <x:v>659</x:v>
      </x:c>
      <x:c r="AA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</x:row>
    <x:row r="138" s="2" customFormat="1" ht="15.75" hidden="0" customHeight="1">
      <x:c r="A138" s="1" t="s">
        <x:v>175</x:v>
      </x:c>
      <x:c r="B138" s="1" t="s">
        <x:v>27</x:v>
      </x:c>
      <x:c r="C138" s="1" t="s">
        <x:v>660</x:v>
      </x:c>
      <x:c r="D138" s="1" t="s">
        <x:v>661</x:v>
      </x:c>
      <x:c r="E138" s="1" t="n">
        <x:v>4490</x:v>
      </x:c>
      <x:c r="F138" s="1"/>
      <x:c r="G138" s="1"/>
      <x:c r="H138" s="1"/>
      <x:c r="I138" s="1"/>
      <x:c r="J138" s="10" t="s">
        <x:v>178</x:v>
      </x:c>
      <x:c r="K138" s="1" t="s">
        <x:v>662</x:v>
      </x:c>
      <x:c r="L138" s="3" t="s">
        <x:v>151</x:v>
      </x:c>
      <x:c r="M138" s="3" t="s">
        <x:v>152</x:v>
      </x:c>
      <x:c r="N138" s="3" t="s">
        <x:v>153</x:v>
      </x:c>
      <x:c r="O138" s="3"/>
      <x:c r="P138" s="3" t="s">
        <x:v>154</x:v>
      </x:c>
      <x:c r="Q138" s="3" t="s">
        <x:v>155</x:v>
      </x:c>
      <x:c r="R138" s="3" t="s">
        <x:v>156</x:v>
      </x:c>
      <x:c r="S138" s="3" t="s">
        <x:v>157</x:v>
      </x:c>
      <x:c r="T138" s="3" t="s">
        <x:v>158</x:v>
      </x:c>
      <x:c r="U138" s="3" t="s">
        <x:v>180</x:v>
      </x:c>
      <x:c r="V138" s="3" t="s">
        <x:v>181</x:v>
      </x:c>
      <x:c r="W138" s="3" t="n">
        <x:v>25.5</x:v>
      </x:c>
      <x:c r="X138" s="3" t="n">
        <x:f aca="0">IF(ISNUMBER(W138),W138*3.412142,"")</x:f>
        <x:v>87.009621</x:v>
      </x:c>
      <x:c r="Y138" s="3" t="s">
        <x:v>182</x:v>
      </x:c>
      <x:c r="Z138" s="4" t="s">
        <x:v>663</x:v>
      </x:c>
      <x:c r="AA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</x:row>
    <x:row r="139" s="2" customFormat="1" ht="15.75" hidden="0" customHeight="1">
      <x:c r="A139" s="1" t="s">
        <x:v>175</x:v>
      </x:c>
      <x:c r="B139" s="1" t="s">
        <x:v>27</x:v>
      </x:c>
      <x:c r="C139" s="1" t="s">
        <x:v>664</x:v>
      </x:c>
      <x:c r="D139" s="1" t="s">
        <x:v>665</x:v>
      </x:c>
      <x:c r="E139" s="1" t="n">
        <x:v>4730</x:v>
      </x:c>
      <x:c r="F139" s="1"/>
      <x:c r="G139" s="1"/>
      <x:c r="H139" s="1"/>
      <x:c r="I139" s="1"/>
      <x:c r="J139" s="10" t="s">
        <x:v>178</x:v>
      </x:c>
      <x:c r="K139" s="1" t="s">
        <x:v>666</x:v>
      </x:c>
      <x:c r="L139" s="3" t="s">
        <x:v>151</x:v>
      </x:c>
      <x:c r="M139" s="3" t="s">
        <x:v>152</x:v>
      </x:c>
      <x:c r="N139" s="3" t="s">
        <x:v>153</x:v>
      </x:c>
      <x:c r="O139" s="3"/>
      <x:c r="P139" s="3" t="s">
        <x:v>154</x:v>
      </x:c>
      <x:c r="Q139" s="3" t="s">
        <x:v>155</x:v>
      </x:c>
      <x:c r="R139" s="3" t="s">
        <x:v>156</x:v>
      </x:c>
      <x:c r="S139" s="3" t="s">
        <x:v>157</x:v>
      </x:c>
      <x:c r="T139" s="3" t="s">
        <x:v>158</x:v>
      </x:c>
      <x:c r="U139" s="3" t="s">
        <x:v>180</x:v>
      </x:c>
      <x:c r="V139" s="3" t="s">
        <x:v>181</x:v>
      </x:c>
      <x:c r="W139" s="3" t="n">
        <x:v>25.5</x:v>
      </x:c>
      <x:c r="X139" s="3" t="n">
        <x:f aca="0">IF(ISNUMBER(W139),W139*3.412142,"")</x:f>
        <x:v>87.009621</x:v>
      </x:c>
      <x:c r="Y139" s="3" t="s">
        <x:v>182</x:v>
      </x:c>
      <x:c r="Z139" s="4" t="s">
        <x:v>667</x:v>
      </x:c>
      <x:c r="AA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</x:row>
    <x:row r="140" s="2" customFormat="1" ht="15.75" hidden="0" customHeight="1">
      <x:c r="A140" s="1" t="s">
        <x:v>175</x:v>
      </x:c>
      <x:c r="B140" s="1" t="s">
        <x:v>27</x:v>
      </x:c>
      <x:c r="C140" s="1" t="s">
        <x:v>668</x:v>
      </x:c>
      <x:c r="D140" s="1" t="s">
        <x:v>669</x:v>
      </x:c>
      <x:c r="E140" s="1" t="n">
        <x:v>1460</x:v>
      </x:c>
      <x:c r="F140" s="1"/>
      <x:c r="G140" s="1"/>
      <x:c r="H140" s="1"/>
      <x:c r="I140" s="1"/>
      <x:c r="J140" s="10" t="s">
        <x:v>178</x:v>
      </x:c>
      <x:c r="K140" s="1" t="s">
        <x:v>670</x:v>
      </x:c>
      <x:c r="L140" s="3" t="s">
        <x:v>151</x:v>
      </x:c>
      <x:c r="M140" s="3" t="s">
        <x:v>152</x:v>
      </x:c>
      <x:c r="N140" s="3" t="s">
        <x:v>153</x:v>
      </x:c>
      <x:c r="O140" s="3"/>
      <x:c r="P140" s="3" t="s">
        <x:v>154</x:v>
      </x:c>
      <x:c r="Q140" s="3" t="s">
        <x:v>155</x:v>
      </x:c>
      <x:c r="R140" s="3" t="s">
        <x:v>156</x:v>
      </x:c>
      <x:c r="S140" s="3" t="s">
        <x:v>157</x:v>
      </x:c>
      <x:c r="T140" s="3" t="s">
        <x:v>158</x:v>
      </x:c>
      <x:c r="U140" s="3" t="s">
        <x:v>180</x:v>
      </x:c>
      <x:c r="V140" s="3" t="s">
        <x:v>270</x:v>
      </x:c>
      <x:c r="W140" s="3" t="n">
        <x:v>15.4</x:v>
      </x:c>
      <x:c r="X140" s="3" t="n">
        <x:f aca="0">IF(ISNUMBER(W140),W140*3.412142,"")</x:f>
        <x:v>52.5469868</x:v>
      </x:c>
      <x:c r="Y140" s="3" t="s">
        <x:v>650</x:v>
      </x:c>
      <x:c r="Z140" s="4"/>
      <x:c r="AA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</x:row>
    <x:row r="141" s="2" customFormat="1" ht="15.75" hidden="0" customHeight="1">
      <x:c r="A141" s="1" t="s">
        <x:v>175</x:v>
      </x:c>
      <x:c r="B141" s="1" t="s">
        <x:v>27</x:v>
      </x:c>
      <x:c r="C141" s="1" t="s">
        <x:v>671</x:v>
      </x:c>
      <x:c r="D141" s="1" t="s">
        <x:v>672</x:v>
      </x:c>
      <x:c r="E141" s="1" t="n">
        <x:v>3150</x:v>
      </x:c>
      <x:c r="F141" s="1"/>
      <x:c r="G141" s="1"/>
      <x:c r="H141" s="1"/>
      <x:c r="I141" s="1"/>
      <x:c r="J141" s="10" t="s">
        <x:v>178</x:v>
      </x:c>
      <x:c r="K141" s="1" t="s">
        <x:v>673</x:v>
      </x:c>
      <x:c r="L141" s="3" t="s">
        <x:v>46</x:v>
      </x:c>
      <x:c r="M141" s="3" t="s">
        <x:v>131</x:v>
      </x:c>
      <x:c r="N141" s="3" t="s">
        <x:v>48</x:v>
      </x:c>
      <x:c r="O141" s="3"/>
      <x:c r="P141" s="3" t="s">
        <x:v>132</x:v>
      </x:c>
      <x:c r="Q141" s="3" t="s">
        <x:v>36</x:v>
      </x:c>
      <x:c r="R141" s="3" t="s">
        <x:v>37</x:v>
      </x:c>
      <x:c r="S141" s="3" t="s">
        <x:v>38</x:v>
      </x:c>
      <x:c r="T141" s="3" t="s">
        <x:v>39</x:v>
      </x:c>
      <x:c r="U141" s="3" t="s">
        <x:v>180</x:v>
      </x:c>
      <x:c r="V141" s="3" t="s">
        <x:v>181</x:v>
      </x:c>
      <x:c r="W141" s="3" t="n">
        <x:v>25.5</x:v>
      </x:c>
      <x:c r="X141" s="3" t="n">
        <x:f aca="0">IF(ISNUMBER(W141),W141*3.412142,"")</x:f>
        <x:v>87.009621</x:v>
      </x:c>
      <x:c r="Y141" s="3" t="s">
        <x:v>182</x:v>
      </x:c>
      <x:c r="Z141" s="4" t="s">
        <x:v>674</x:v>
      </x:c>
      <x:c r="AA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</x:row>
    <x:row r="142" s="2" customFormat="1" ht="15.75" hidden="0" customHeight="1">
      <x:c r="A142" s="1" t="s">
        <x:v>175</x:v>
      </x:c>
      <x:c r="B142" s="1" t="s">
        <x:v>27</x:v>
      </x:c>
      <x:c r="C142" s="1" t="s">
        <x:v>200</x:v>
      </x:c>
      <x:c r="D142" s="1" t="s">
        <x:v>201</x:v>
      </x:c>
      <x:c r="E142" s="1" t="n">
        <x:v>2910</x:v>
      </x:c>
      <x:c r="F142" s="1"/>
      <x:c r="G142" s="1"/>
      <x:c r="H142" s="1"/>
      <x:c r="I142" s="1"/>
      <x:c r="J142" s="10" t="s">
        <x:v>178</x:v>
      </x:c>
      <x:c r="K142" s="1" t="s">
        <x:v>675</x:v>
      </x:c>
      <x:c r="L142" s="3" t="s">
        <x:v>46</x:v>
      </x:c>
      <x:c r="M142" s="3" t="s">
        <x:v>131</x:v>
      </x:c>
      <x:c r="N142" s="3" t="s">
        <x:v>48</x:v>
      </x:c>
      <x:c r="O142" s="3"/>
      <x:c r="P142" s="3" t="s">
        <x:v>132</x:v>
      </x:c>
      <x:c r="Q142" s="3" t="s">
        <x:v>36</x:v>
      </x:c>
      <x:c r="R142" s="3" t="s">
        <x:v>37</x:v>
      </x:c>
      <x:c r="S142" s="3" t="s">
        <x:v>38</x:v>
      </x:c>
      <x:c r="T142" s="3" t="s">
        <x:v>39</x:v>
      </x:c>
      <x:c r="U142" s="3" t="s">
        <x:v>180</x:v>
      </x:c>
      <x:c r="V142" s="3" t="s">
        <x:v>181</x:v>
      </x:c>
      <x:c r="W142" s="3" t="n">
        <x:v>25.5</x:v>
      </x:c>
      <x:c r="X142" s="3" t="n">
        <x:f aca="0">IF(ISNUMBER(W142),W142*3.412142,"")</x:f>
        <x:v>87.009621</x:v>
      </x:c>
      <x:c r="Y142" s="3" t="s">
        <x:v>182</x:v>
      </x:c>
      <x:c r="Z142" s="4"/>
      <x:c r="AA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</x:row>
    <x:row r="143" s="2" customFormat="1" ht="15.75" hidden="0" customHeight="1">
      <x:c r="A143" s="1" t="s">
        <x:v>175</x:v>
      </x:c>
      <x:c r="B143" s="1" t="s">
        <x:v>27</x:v>
      </x:c>
      <x:c r="C143" s="1" t="s">
        <x:v>676</x:v>
      </x:c>
      <x:c r="D143" s="1" t="s">
        <x:v>677</x:v>
      </x:c>
      <x:c r="E143" s="1" t="n">
        <x:v>3150</x:v>
      </x:c>
      <x:c r="F143" s="1"/>
      <x:c r="G143" s="1"/>
      <x:c r="H143" s="1"/>
      <x:c r="I143" s="1"/>
      <x:c r="J143" s="10" t="s">
        <x:v>178</x:v>
      </x:c>
      <x:c r="K143" s="1" t="s">
        <x:v>678</x:v>
      </x:c>
      <x:c r="L143" s="3" t="s">
        <x:v>46</x:v>
      </x:c>
      <x:c r="M143" s="3" t="s">
        <x:v>131</x:v>
      </x:c>
      <x:c r="N143" s="3" t="s">
        <x:v>48</x:v>
      </x:c>
      <x:c r="O143" s="3"/>
      <x:c r="P143" s="3" t="s">
        <x:v>132</x:v>
      </x:c>
      <x:c r="Q143" s="3" t="s">
        <x:v>36</x:v>
      </x:c>
      <x:c r="R143" s="3" t="s">
        <x:v>37</x:v>
      </x:c>
      <x:c r="S143" s="3" t="s">
        <x:v>38</x:v>
      </x:c>
      <x:c r="T143" s="3" t="s">
        <x:v>39</x:v>
      </x:c>
      <x:c r="U143" s="3" t="s">
        <x:v>180</x:v>
      </x:c>
      <x:c r="V143" s="3" t="s">
        <x:v>181</x:v>
      </x:c>
      <x:c r="W143" s="3" t="n">
        <x:v>25.5</x:v>
      </x:c>
      <x:c r="X143" s="3" t="n">
        <x:f aca="0">IF(ISNUMBER(W143),W143*3.412142,"")</x:f>
        <x:v>87.009621</x:v>
      </x:c>
      <x:c r="Y143" s="3" t="s">
        <x:v>182</x:v>
      </x:c>
      <x:c r="Z143" s="4" t="s">
        <x:v>679</x:v>
      </x:c>
      <x:c r="AA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</x:row>
    <x:row r="144" s="2" customFormat="1" ht="15.75" hidden="0" customHeight="1">
      <x:c r="A144" s="1" t="s">
        <x:v>175</x:v>
      </x:c>
      <x:c r="B144" s="1" t="s">
        <x:v>27</x:v>
      </x:c>
      <x:c r="C144" s="1" t="s">
        <x:v>680</x:v>
      </x:c>
      <x:c r="D144" s="1" t="s">
        <x:v>681</x:v>
      </x:c>
      <x:c r="E144" s="1" t="n">
        <x:v>3520</x:v>
      </x:c>
      <x:c r="F144" s="1"/>
      <x:c r="G144" s="1"/>
      <x:c r="H144" s="1"/>
      <x:c r="I144" s="1"/>
      <x:c r="J144" s="10" t="s">
        <x:v>178</x:v>
      </x:c>
      <x:c r="K144" s="1" t="s">
        <x:v>682</x:v>
      </x:c>
      <x:c r="L144" s="3" t="s">
        <x:v>46</x:v>
      </x:c>
      <x:c r="M144" s="3" t="s">
        <x:v>131</x:v>
      </x:c>
      <x:c r="N144" s="3" t="s">
        <x:v>48</x:v>
      </x:c>
      <x:c r="O144" s="3"/>
      <x:c r="P144" s="3" t="s">
        <x:v>132</x:v>
      </x:c>
      <x:c r="Q144" s="3" t="s">
        <x:v>36</x:v>
      </x:c>
      <x:c r="R144" s="3" t="s">
        <x:v>37</x:v>
      </x:c>
      <x:c r="S144" s="3" t="s">
        <x:v>38</x:v>
      </x:c>
      <x:c r="T144" s="3" t="s">
        <x:v>39</x:v>
      </x:c>
      <x:c r="U144" s="3" t="s">
        <x:v>180</x:v>
      </x:c>
      <x:c r="V144" s="3" t="s">
        <x:v>181</x:v>
      </x:c>
      <x:c r="W144" s="3" t="n">
        <x:v>25.5</x:v>
      </x:c>
      <x:c r="X144" s="3" t="n">
        <x:f aca="0">IF(ISNUMBER(W144),W144*3.412142,"")</x:f>
        <x:v>87.009621</x:v>
      </x:c>
      <x:c r="Y144" s="3" t="s">
        <x:v>182</x:v>
      </x:c>
      <x:c r="Z144" s="4" t="s">
        <x:v>683</x:v>
      </x:c>
      <x:c r="AA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</x:row>
    <x:row r="145" s="2" customFormat="1" ht="15.75" hidden="0" customHeight="1">
      <x:c r="A145" s="1" t="s">
        <x:v>684</x:v>
      </x:c>
      <x:c r="B145" s="1" t="s">
        <x:v>27</x:v>
      </x:c>
      <x:c r="C145" s="1" t="s">
        <x:v>685</x:v>
      </x:c>
      <x:c r="D145" s="1" t="s">
        <x:v>686</x:v>
      </x:c>
      <x:c r="E145" s="1" t="n">
        <x:v>12590</x:v>
      </x:c>
      <x:c r="F145" s="1"/>
      <x:c r="G145" s="1"/>
      <x:c r="H145" s="1"/>
      <x:c r="I145" s="1"/>
      <x:c r="J145" s="16" t="s">
        <x:v>687</x:v>
      </x:c>
      <x:c r="K145" s="1" t="s">
        <x:v>688</x:v>
      </x:c>
      <x:c r="L145" s="3" t="s">
        <x:v>55</x:v>
      </x:c>
      <x:c r="M145" s="3" t="s">
        <x:v>63</x:v>
      </x:c>
      <x:c r="N145" s="3" t="s">
        <x:v>525</x:v>
      </x:c>
      <x:c r="O145" s="3"/>
      <x:c r="P145" s="3" t="s">
        <x:v>325</x:v>
      </x:c>
      <x:c r="Q145" s="3" t="s">
        <x:v>66</x:v>
      </x:c>
      <x:c r="R145" s="3" t="s">
        <x:v>67</x:v>
      </x:c>
      <x:c r="S145" s="3" t="s">
        <x:v>68</x:v>
      </x:c>
      <x:c r="T145" s="3" t="s">
        <x:v>39</x:v>
      </x:c>
      <x:c r="U145" s="3" t="s">
        <x:v>40</x:v>
      </x:c>
      <x:c r="V145" s="3" t="s">
        <x:v>70</x:v>
      </x:c>
      <x:c r="W145" s="3" t="n">
        <x:v>250</x:v>
      </x:c>
      <x:c r="X145" s="3" t="n">
        <x:f aca="0">IF(ISNUMBER(W145),W145*3.412142,"")</x:f>
        <x:v>853.0355</x:v>
      </x:c>
      <x:c r="Y145" s="3" t="s">
        <x:v>42</x:v>
      </x:c>
      <x:c r="Z145" s="4"/>
      <x:c r="AA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</x:row>
    <x:row r="146" s="2" customFormat="1" ht="15.75" hidden="0" customHeight="1">
      <x:c r="A146" s="1" t="s">
        <x:v>684</x:v>
      </x:c>
      <x:c r="B146" s="1" t="s">
        <x:v>27</x:v>
      </x:c>
      <x:c r="C146" s="1" t="s">
        <x:v>689</x:v>
      </x:c>
      <x:c r="D146" s="1" t="s">
        <x:v>690</x:v>
      </x:c>
      <x:c r="E146" s="1" t="n">
        <x:v>5350</x:v>
      </x:c>
      <x:c r="F146" s="1"/>
      <x:c r="G146" s="1"/>
      <x:c r="H146" s="1"/>
      <x:c r="I146" s="1"/>
      <x:c r="J146" s="16" t="s">
        <x:v>687</x:v>
      </x:c>
      <x:c r="K146" s="1" t="s">
        <x:v>691</x:v>
      </x:c>
      <x:c r="L146" s="3" t="s">
        <x:v>55</x:v>
      </x:c>
      <x:c r="M146" s="3" t="s">
        <x:v>63</x:v>
      </x:c>
      <x:c r="N146" s="3" t="s">
        <x:v>525</x:v>
      </x:c>
      <x:c r="O146" s="3"/>
      <x:c r="P146" s="3" t="s">
        <x:v>325</x:v>
      </x:c>
      <x:c r="Q146" s="3" t="s">
        <x:v>66</x:v>
      </x:c>
      <x:c r="R146" s="3" t="s">
        <x:v>67</x:v>
      </x:c>
      <x:c r="S146" s="3" t="s">
        <x:v>68</x:v>
      </x:c>
      <x:c r="T146" s="3" t="s">
        <x:v>39</x:v>
      </x:c>
      <x:c r="U146" s="3" t="s">
        <x:v>40</x:v>
      </x:c>
      <x:c r="V146" s="3" t="s">
        <x:v>70</x:v>
      </x:c>
      <x:c r="W146" s="3" t="n">
        <x:v>250</x:v>
      </x:c>
      <x:c r="X146" s="3" t="n">
        <x:f aca="0">IF(ISNUMBER(W146),W146*3.412142,"")</x:f>
        <x:v>853.0355</x:v>
      </x:c>
      <x:c r="Y146" s="3" t="s">
        <x:v>42</x:v>
      </x:c>
      <x:c r="Z146" s="4" t="s">
        <x:v>692</x:v>
      </x:c>
      <x:c r="AA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</x:row>
    <x:row r="147" s="2" customFormat="1" ht="15.75" hidden="0" customHeight="1">
      <x:c r="A147" s="1" t="s">
        <x:v>684</x:v>
      </x:c>
      <x:c r="B147" s="1" t="s">
        <x:v>27</x:v>
      </x:c>
      <x:c r="C147" s="1" t="s">
        <x:v>693</x:v>
      </x:c>
      <x:c r="D147" s="1" t="s">
        <x:v>694</x:v>
      </x:c>
      <x:c r="E147" s="1" t="n">
        <x:v>2910</x:v>
      </x:c>
      <x:c r="F147" s="1"/>
      <x:c r="G147" s="1"/>
      <x:c r="H147" s="1"/>
      <x:c r="I147" s="1"/>
      <x:c r="J147" s="16" t="s">
        <x:v>687</x:v>
      </x:c>
      <x:c r="K147" s="1" t="s">
        <x:v>695</x:v>
      </x:c>
      <x:c r="L147" s="3" t="s">
        <x:v>46</x:v>
      </x:c>
      <x:c r="M147" s="3" t="s">
        <x:v>56</x:v>
      </x:c>
      <x:c r="N147" s="3" t="s">
        <x:v>48</x:v>
      </x:c>
      <x:c r="O147" s="3"/>
      <x:c r="P147" s="3" t="s">
        <x:v>49</x:v>
      </x:c>
      <x:c r="Q147" s="3" t="s">
        <x:v>36</x:v>
      </x:c>
      <x:c r="R147" s="3" t="s">
        <x:v>37</x:v>
      </x:c>
      <x:c r="S147" s="3" t="s">
        <x:v>38</x:v>
      </x:c>
      <x:c r="T147" s="3" t="s">
        <x:v>39</x:v>
      </x:c>
      <x:c r="U147" s="3" t="s">
        <x:v>40</x:v>
      </x:c>
      <x:c r="V147" s="3" t="s">
        <x:v>41</x:v>
      </x:c>
      <x:c r="W147" s="3" t="n">
        <x:v>100</x:v>
      </x:c>
      <x:c r="X147" s="3" t="n">
        <x:f aca="0">IF(ISNUMBER(W147),W147*3.412142,"")</x:f>
        <x:v>341.2142</x:v>
      </x:c>
      <x:c r="Y147" s="3" t="s">
        <x:v>42</x:v>
      </x:c>
      <x:c r="Z147" s="4"/>
      <x:c r="AA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</x:row>
    <x:row r="148" s="2" customFormat="1" ht="15.75" hidden="0" customHeight="1">
      <x:c r="A148" s="1" t="s">
        <x:v>684</x:v>
      </x:c>
      <x:c r="B148" s="1" t="s">
        <x:v>27</x:v>
      </x:c>
      <x:c r="C148" s="1" t="s">
        <x:v>696</x:v>
      </x:c>
      <x:c r="D148" s="1" t="s">
        <x:v>697</x:v>
      </x:c>
      <x:c r="E148" s="1" t="n">
        <x:v>2910</x:v>
      </x:c>
      <x:c r="F148" s="1"/>
      <x:c r="G148" s="1"/>
      <x:c r="H148" s="1"/>
      <x:c r="I148" s="1"/>
      <x:c r="J148" s="16" t="s">
        <x:v>687</x:v>
      </x:c>
      <x:c r="K148" s="1" t="s">
        <x:v>698</x:v>
      </x:c>
      <x:c r="L148" s="3" t="s">
        <x:v>46</x:v>
      </x:c>
      <x:c r="M148" s="3" t="s">
        <x:v>56</x:v>
      </x:c>
      <x:c r="N148" s="3" t="s">
        <x:v>48</x:v>
      </x:c>
      <x:c r="O148" s="3"/>
      <x:c r="P148" s="3" t="s">
        <x:v>49</x:v>
      </x:c>
      <x:c r="Q148" s="3" t="s">
        <x:v>36</x:v>
      </x:c>
      <x:c r="R148" s="3" t="s">
        <x:v>37</x:v>
      </x:c>
      <x:c r="S148" s="3" t="s">
        <x:v>38</x:v>
      </x:c>
      <x:c r="T148" s="3" t="s">
        <x:v>39</x:v>
      </x:c>
      <x:c r="U148" s="3" t="s">
        <x:v>40</x:v>
      </x:c>
      <x:c r="V148" s="3" t="s">
        <x:v>41</x:v>
      </x:c>
      <x:c r="W148" s="3" t="n">
        <x:v>100</x:v>
      </x:c>
      <x:c r="X148" s="3" t="n">
        <x:f aca="0">IF(ISNUMBER(W148),W148*3.412142,"")</x:f>
        <x:v>341.2142</x:v>
      </x:c>
      <x:c r="Y148" s="3" t="s">
        <x:v>42</x:v>
      </x:c>
      <x:c r="Z148" s="4"/>
      <x:c r="AA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</x:row>
    <x:row r="149" s="2" customFormat="1" ht="15.75" hidden="0" customHeight="1">
      <x:c r="A149" s="1" t="s">
        <x:v>684</x:v>
      </x:c>
      <x:c r="B149" s="1" t="s">
        <x:v>27</x:v>
      </x:c>
      <x:c r="C149" s="1" t="s">
        <x:v>699</x:v>
      </x:c>
      <x:c r="D149" s="1" t="s">
        <x:v>700</x:v>
      </x:c>
      <x:c r="E149" s="1" t="n">
        <x:v>1940</x:v>
      </x:c>
      <x:c r="F149" s="1"/>
      <x:c r="G149" s="1"/>
      <x:c r="H149" s="1"/>
      <x:c r="I149" s="1"/>
      <x:c r="J149" s="16" t="s">
        <x:v>687</x:v>
      </x:c>
      <x:c r="K149" s="1" t="s">
        <x:v>701</x:v>
      </x:c>
      <x:c r="L149" s="3" t="s">
        <x:v>46</x:v>
      </x:c>
      <x:c r="M149" s="3" t="s">
        <x:v>56</x:v>
      </x:c>
      <x:c r="N149" s="3" t="s">
        <x:v>48</x:v>
      </x:c>
      <x:c r="O149" s="3"/>
      <x:c r="P149" s="3" t="s">
        <x:v>49</x:v>
      </x:c>
      <x:c r="Q149" s="3" t="s">
        <x:v>36</x:v>
      </x:c>
      <x:c r="R149" s="3" t="s">
        <x:v>37</x:v>
      </x:c>
      <x:c r="S149" s="3" t="s">
        <x:v>38</x:v>
      </x:c>
      <x:c r="T149" s="3" t="s">
        <x:v>39</x:v>
      </x:c>
      <x:c r="U149" s="3" t="s">
        <x:v>40</x:v>
      </x:c>
      <x:c r="V149" s="3" t="s">
        <x:v>41</x:v>
      </x:c>
      <x:c r="W149" s="3" t="n">
        <x:v>100</x:v>
      </x:c>
      <x:c r="X149" s="3" t="n">
        <x:f aca="0">IF(ISNUMBER(W149),W149*3.412142,"")</x:f>
        <x:v>341.2142</x:v>
      </x:c>
      <x:c r="Y149" s="3" t="s">
        <x:v>42</x:v>
      </x:c>
      <x:c r="Z149" s="4"/>
      <x:c r="AA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</x:row>
    <x:row r="150" s="2" customFormat="1" ht="15.75" hidden="0" customHeight="1">
      <x:c r="A150" s="1" t="s">
        <x:v>252</x:v>
      </x:c>
      <x:c r="B150" s="1" t="s">
        <x:v>27</x:v>
      </x:c>
      <x:c r="C150" s="1" t="s">
        <x:v>702</x:v>
      </x:c>
      <x:c r="D150" s="1" t="s">
        <x:v>703</x:v>
      </x:c>
      <x:c r="E150" s="1" t="n">
        <x:v>850</x:v>
      </x:c>
      <x:c r="F150" s="1"/>
      <x:c r="G150" s="1"/>
      <x:c r="H150" s="1"/>
      <x:c r="I150" s="1"/>
      <x:c r="J150" s="13" t="s">
        <x:v>255</x:v>
      </x:c>
      <x:c r="K150" s="1" t="s">
        <x:v>303</x:v>
      </x:c>
      <x:c r="L150" s="3" t="s">
        <x:v>152</x:v>
      </x:c>
      <x:c r="M150" s="3" t="s">
        <x:v>151</x:v>
      </x:c>
      <x:c r="N150" s="3" t="s">
        <x:v>704</x:v>
      </x:c>
      <x:c r="O150" s="3"/>
      <x:c r="P150" s="3" t="s">
        <x:v>705</x:v>
      </x:c>
      <x:c r="Q150" s="3" t="s">
        <x:v>307</x:v>
      </x:c>
      <x:c r="R150" s="3" t="s">
        <x:v>156</x:v>
      </x:c>
      <x:c r="S150" s="3" t="s">
        <x:v>157</x:v>
      </x:c>
      <x:c r="T150" s="3" t="s">
        <x:v>158</x:v>
      </x:c>
      <x:c r="U150" s="3" t="s">
        <x:v>180</x:v>
      </x:c>
      <x:c r="V150" s="3" t="s">
        <x:v>308</x:v>
      </x:c>
      <x:c r="W150" s="3" t="n">
        <x:v>13</x:v>
      </x:c>
      <x:c r="X150" s="3" t="n">
        <x:f aca="0">IF(ISNUMBER(W150),W150*3.412142,"")</x:f>
        <x:v>44.357845999999995</x:v>
      </x:c>
      <x:c r="Y150" s="3" t="s">
        <x:v>271</x:v>
      </x:c>
      <x:c r="Z150" s="4"/>
      <x:c r="AA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</x:row>
    <x:row r="151" s="2" customFormat="1" ht="15.75" hidden="0" customHeight="1">
      <x:c r="A151" s="1" t="s">
        <x:v>252</x:v>
      </x:c>
      <x:c r="B151" s="1" t="s">
        <x:v>27</x:v>
      </x:c>
      <x:c r="C151" s="1" t="s">
        <x:v>706</x:v>
      </x:c>
      <x:c r="D151" s="1" t="s">
        <x:v>707</x:v>
      </x:c>
      <x:c r="E151" s="1" t="n">
        <x:v>920</x:v>
      </x:c>
      <x:c r="F151" s="1"/>
      <x:c r="G151" s="1"/>
      <x:c r="H151" s="1"/>
      <x:c r="I151" s="1"/>
      <x:c r="J151" s="13" t="s">
        <x:v>255</x:v>
      </x:c>
      <x:c r="K151" s="1" t="s">
        <x:v>303</x:v>
      </x:c>
      <x:c r="L151" s="3" t="s">
        <x:v>152</x:v>
      </x:c>
      <x:c r="M151" s="3" t="s">
        <x:v>151</x:v>
      </x:c>
      <x:c r="N151" s="3" t="s">
        <x:v>704</x:v>
      </x:c>
      <x:c r="O151" s="3"/>
      <x:c r="P151" s="3" t="s">
        <x:v>705</x:v>
      </x:c>
      <x:c r="Q151" s="3" t="s">
        <x:v>307</x:v>
      </x:c>
      <x:c r="R151" s="3" t="s">
        <x:v>156</x:v>
      </x:c>
      <x:c r="S151" s="3" t="s">
        <x:v>157</x:v>
      </x:c>
      <x:c r="T151" s="3" t="s">
        <x:v>158</x:v>
      </x:c>
      <x:c r="U151" s="3" t="s">
        <x:v>180</x:v>
      </x:c>
      <x:c r="V151" s="3" t="s">
        <x:v>308</x:v>
      </x:c>
      <x:c r="W151" s="3" t="n">
        <x:v>13</x:v>
      </x:c>
      <x:c r="X151" s="3" t="n">
        <x:f aca="0">IF(ISNUMBER(W151),W151*3.412142,"")</x:f>
        <x:v>44.357845999999995</x:v>
      </x:c>
      <x:c r="Y151" s="3" t="s">
        <x:v>271</x:v>
      </x:c>
      <x:c r="Z151" s="4"/>
      <x:c r="AA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</x:row>
    <x:row r="152" s="2" customFormat="1" ht="15.75" hidden="0" customHeight="1">
      <x:c r="A152" s="1" t="s">
        <x:v>252</x:v>
      </x:c>
      <x:c r="B152" s="1" t="s">
        <x:v>27</x:v>
      </x:c>
      <x:c r="C152" s="1" t="s">
        <x:v>708</x:v>
      </x:c>
      <x:c r="D152" s="1" t="s">
        <x:v>709</x:v>
      </x:c>
      <x:c r="E152" s="1" t="n">
        <x:v>810</x:v>
      </x:c>
      <x:c r="F152" s="1"/>
      <x:c r="G152" s="1"/>
      <x:c r="H152" s="1"/>
      <x:c r="I152" s="1"/>
      <x:c r="J152" s="13" t="s">
        <x:v>255</x:v>
      </x:c>
      <x:c r="K152" s="1" t="s">
        <x:v>710</x:v>
      </x:c>
      <x:c r="L152" s="3" t="s">
        <x:v>151</x:v>
      </x:c>
      <x:c r="M152" s="3" t="s">
        <x:v>152</x:v>
      </x:c>
      <x:c r="N152" s="3" t="s">
        <x:v>711</x:v>
      </x:c>
      <x:c r="O152" s="3"/>
      <x:c r="P152" s="3" t="s">
        <x:v>333</x:v>
      </x:c>
      <x:c r="Q152" s="3" t="s">
        <x:v>307</x:v>
      </x:c>
      <x:c r="R152" s="3" t="s">
        <x:v>156</x:v>
      </x:c>
      <x:c r="S152" s="3" t="s">
        <x:v>157</x:v>
      </x:c>
      <x:c r="T152" s="3" t="s">
        <x:v>158</x:v>
      </x:c>
      <x:c r="U152" s="3" t="s">
        <x:v>180</x:v>
      </x:c>
      <x:c r="V152" s="3" t="s">
        <x:v>308</x:v>
      </x:c>
      <x:c r="W152" s="3" t="n">
        <x:v>13</x:v>
      </x:c>
      <x:c r="X152" s="3" t="n">
        <x:f aca="0">IF(ISNUMBER(W152),W152*3.412142,"")</x:f>
        <x:v>44.357845999999995</x:v>
      </x:c>
      <x:c r="Y152" s="3" t="s">
        <x:v>271</x:v>
      </x:c>
      <x:c r="Z152" s="4"/>
      <x:c r="AA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</x:row>
    <x:row r="153" s="2" customFormat="1" ht="15.75" hidden="0" customHeight="1">
      <x:c r="A153" s="1" t="s">
        <x:v>252</x:v>
      </x:c>
      <x:c r="B153" s="1" t="s">
        <x:v>27</x:v>
      </x:c>
      <x:c r="C153" s="1" t="s">
        <x:v>712</x:v>
      </x:c>
      <x:c r="D153" s="1" t="s">
        <x:v>713</x:v>
      </x:c>
      <x:c r="E153" s="1" t="n">
        <x:v>810</x:v>
      </x:c>
      <x:c r="F153" s="1"/>
      <x:c r="G153" s="1"/>
      <x:c r="H153" s="1"/>
      <x:c r="I153" s="1"/>
      <x:c r="J153" s="13" t="s">
        <x:v>255</x:v>
      </x:c>
      <x:c r="K153" s="1" t="s">
        <x:v>710</x:v>
      </x:c>
      <x:c r="L153" s="3" t="s">
        <x:v>151</x:v>
      </x:c>
      <x:c r="M153" s="3" t="s">
        <x:v>152</x:v>
      </x:c>
      <x:c r="N153" s="3" t="s">
        <x:v>711</x:v>
      </x:c>
      <x:c r="O153" s="3"/>
      <x:c r="P153" s="3" t="s">
        <x:v>333</x:v>
      </x:c>
      <x:c r="Q153" s="3" t="s">
        <x:v>307</x:v>
      </x:c>
      <x:c r="R153" s="3" t="s">
        <x:v>156</x:v>
      </x:c>
      <x:c r="S153" s="3" t="s">
        <x:v>157</x:v>
      </x:c>
      <x:c r="T153" s="3" t="s">
        <x:v>158</x:v>
      </x:c>
      <x:c r="U153" s="3" t="s">
        <x:v>180</x:v>
      </x:c>
      <x:c r="V153" s="3" t="s">
        <x:v>308</x:v>
      </x:c>
      <x:c r="W153" s="3" t="n">
        <x:v>13</x:v>
      </x:c>
      <x:c r="X153" s="3" t="n">
        <x:f aca="0">IF(ISNUMBER(W153),W153*3.412142,"")</x:f>
        <x:v>44.357845999999995</x:v>
      </x:c>
      <x:c r="Y153" s="3" t="s">
        <x:v>271</x:v>
      </x:c>
      <x:c r="Z153" s="4"/>
      <x:c r="AA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</x:row>
    <x:row r="154" s="2" customFormat="1" ht="15.75" hidden="0" customHeight="1">
      <x:c r="A154" s="1" t="s">
        <x:v>252</x:v>
      </x:c>
      <x:c r="B154" s="1" t="s">
        <x:v>27</x:v>
      </x:c>
      <x:c r="C154" s="1" t="s">
        <x:v>714</x:v>
      </x:c>
      <x:c r="D154" s="1" t="s">
        <x:v>715</x:v>
      </x:c>
      <x:c r="E154" s="1" t="n">
        <x:v>810</x:v>
      </x:c>
      <x:c r="F154" s="1"/>
      <x:c r="G154" s="1"/>
      <x:c r="H154" s="1"/>
      <x:c r="I154" s="1"/>
      <x:c r="J154" s="13" t="s">
        <x:v>255</x:v>
      </x:c>
      <x:c r="K154" s="1" t="s">
        <x:v>710</x:v>
      </x:c>
      <x:c r="L154" s="3" t="s">
        <x:v>151</x:v>
      </x:c>
      <x:c r="M154" s="3" t="s">
        <x:v>152</x:v>
      </x:c>
      <x:c r="N154" s="3" t="s">
        <x:v>711</x:v>
      </x:c>
      <x:c r="O154" s="3"/>
      <x:c r="P154" s="3" t="s">
        <x:v>333</x:v>
      </x:c>
      <x:c r="Q154" s="3" t="s">
        <x:v>307</x:v>
      </x:c>
      <x:c r="R154" s="3" t="s">
        <x:v>156</x:v>
      </x:c>
      <x:c r="S154" s="3" t="s">
        <x:v>157</x:v>
      </x:c>
      <x:c r="T154" s="3" t="s">
        <x:v>158</x:v>
      </x:c>
      <x:c r="U154" s="3" t="s">
        <x:v>180</x:v>
      </x:c>
      <x:c r="V154" s="3" t="s">
        <x:v>308</x:v>
      </x:c>
      <x:c r="W154" s="3" t="n">
        <x:v>13</x:v>
      </x:c>
      <x:c r="X154" s="3" t="n">
        <x:f aca="0">IF(ISNUMBER(W154),W154*3.412142,"")</x:f>
        <x:v>44.357845999999995</x:v>
      </x:c>
      <x:c r="Y154" s="3" t="s">
        <x:v>271</x:v>
      </x:c>
      <x:c r="Z154" s="4"/>
      <x:c r="AA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</x:row>
    <x:row r="155" s="2" customFormat="1" ht="15.75" hidden="0" customHeight="1">
      <x:c r="A155" s="1" t="s">
        <x:v>252</x:v>
      </x:c>
      <x:c r="B155" s="1" t="s">
        <x:v>27</x:v>
      </x:c>
      <x:c r="C155" s="1" t="s">
        <x:v>716</x:v>
      </x:c>
      <x:c r="D155" s="1" t="s">
        <x:v>717</x:v>
      </x:c>
      <x:c r="E155" s="1" t="n">
        <x:v>810</x:v>
      </x:c>
      <x:c r="F155" s="1"/>
      <x:c r="G155" s="1"/>
      <x:c r="H155" s="1"/>
      <x:c r="I155" s="1"/>
      <x:c r="J155" s="13" t="s">
        <x:v>255</x:v>
      </x:c>
      <x:c r="K155" s="1" t="s">
        <x:v>710</x:v>
      </x:c>
      <x:c r="L155" s="3" t="s">
        <x:v>151</x:v>
      </x:c>
      <x:c r="M155" s="3" t="s">
        <x:v>152</x:v>
      </x:c>
      <x:c r="N155" s="3" t="s">
        <x:v>711</x:v>
      </x:c>
      <x:c r="O155" s="3"/>
      <x:c r="P155" s="3" t="s">
        <x:v>333</x:v>
      </x:c>
      <x:c r="Q155" s="3" t="s">
        <x:v>307</x:v>
      </x:c>
      <x:c r="R155" s="3" t="s">
        <x:v>156</x:v>
      </x:c>
      <x:c r="S155" s="3" t="s">
        <x:v>157</x:v>
      </x:c>
      <x:c r="T155" s="3" t="s">
        <x:v>158</x:v>
      </x:c>
      <x:c r="U155" s="3" t="s">
        <x:v>180</x:v>
      </x:c>
      <x:c r="V155" s="3" t="s">
        <x:v>308</x:v>
      </x:c>
      <x:c r="W155" s="3" t="n">
        <x:v>13</x:v>
      </x:c>
      <x:c r="X155" s="3" t="n">
        <x:f aca="0">IF(ISNUMBER(W155),W155*3.412142,"")</x:f>
        <x:v>44.357845999999995</x:v>
      </x:c>
      <x:c r="Y155" s="3" t="s">
        <x:v>271</x:v>
      </x:c>
      <x:c r="Z155" s="4"/>
      <x:c r="AA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</x:row>
    <x:row r="156" s="2" customFormat="1" ht="15.75" hidden="0" customHeight="1">
      <x:c r="A156" s="1" t="s">
        <x:v>252</x:v>
      </x:c>
      <x:c r="B156" s="1" t="s">
        <x:v>27</x:v>
      </x:c>
      <x:c r="C156" s="1" t="s">
        <x:v>718</x:v>
      </x:c>
      <x:c r="D156" s="1" t="s">
        <x:v>719</x:v>
      </x:c>
      <x:c r="E156" s="1" t="n">
        <x:v>810</x:v>
      </x:c>
      <x:c r="F156" s="1"/>
      <x:c r="G156" s="1"/>
      <x:c r="H156" s="1"/>
      <x:c r="I156" s="1"/>
      <x:c r="J156" s="13" t="s">
        <x:v>255</x:v>
      </x:c>
      <x:c r="K156" s="1" t="s">
        <x:v>710</x:v>
      </x:c>
      <x:c r="L156" s="3" t="s">
        <x:v>151</x:v>
      </x:c>
      <x:c r="M156" s="3" t="s">
        <x:v>152</x:v>
      </x:c>
      <x:c r="N156" s="3" t="s">
        <x:v>711</x:v>
      </x:c>
      <x:c r="O156" s="3"/>
      <x:c r="P156" s="3" t="s">
        <x:v>333</x:v>
      </x:c>
      <x:c r="Q156" s="3" t="s">
        <x:v>307</x:v>
      </x:c>
      <x:c r="R156" s="3" t="s">
        <x:v>156</x:v>
      </x:c>
      <x:c r="S156" s="3" t="s">
        <x:v>157</x:v>
      </x:c>
      <x:c r="T156" s="3" t="s">
        <x:v>158</x:v>
      </x:c>
      <x:c r="U156" s="3" t="s">
        <x:v>180</x:v>
      </x:c>
      <x:c r="V156" s="3" t="s">
        <x:v>308</x:v>
      </x:c>
      <x:c r="W156" s="3" t="n">
        <x:v>13</x:v>
      </x:c>
      <x:c r="X156" s="3" t="n">
        <x:f aca="0">IF(ISNUMBER(W156),W156*3.412142,"")</x:f>
        <x:v>44.357845999999995</x:v>
      </x:c>
      <x:c r="Y156" s="3" t="s">
        <x:v>271</x:v>
      </x:c>
      <x:c r="Z156" s="4"/>
      <x:c r="AA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</x:row>
    <x:row r="157" s="2" customFormat="1" ht="15.75" hidden="0" customHeight="1">
      <x:c r="A157" s="1" t="s">
        <x:v>252</x:v>
      </x:c>
      <x:c r="B157" s="1" t="s">
        <x:v>27</x:v>
      </x:c>
      <x:c r="C157" s="1" t="s">
        <x:v>720</x:v>
      </x:c>
      <x:c r="D157" s="1" t="s">
        <x:v>721</x:v>
      </x:c>
      <x:c r="E157" s="1" t="n">
        <x:v>810</x:v>
      </x:c>
      <x:c r="F157" s="1"/>
      <x:c r="G157" s="1"/>
      <x:c r="H157" s="1"/>
      <x:c r="I157" s="1"/>
      <x:c r="J157" s="13" t="s">
        <x:v>255</x:v>
      </x:c>
      <x:c r="K157" s="1" t="s">
        <x:v>710</x:v>
      </x:c>
      <x:c r="L157" s="3" t="s">
        <x:v>151</x:v>
      </x:c>
      <x:c r="M157" s="3" t="s">
        <x:v>152</x:v>
      </x:c>
      <x:c r="N157" s="3" t="s">
        <x:v>711</x:v>
      </x:c>
      <x:c r="O157" s="3"/>
      <x:c r="P157" s="3" t="s">
        <x:v>333</x:v>
      </x:c>
      <x:c r="Q157" s="3" t="s">
        <x:v>307</x:v>
      </x:c>
      <x:c r="R157" s="3" t="s">
        <x:v>156</x:v>
      </x:c>
      <x:c r="S157" s="3" t="s">
        <x:v>157</x:v>
      </x:c>
      <x:c r="T157" s="3" t="s">
        <x:v>158</x:v>
      </x:c>
      <x:c r="U157" s="3" t="s">
        <x:v>180</x:v>
      </x:c>
      <x:c r="V157" s="3" t="s">
        <x:v>308</x:v>
      </x:c>
      <x:c r="W157" s="3" t="n">
        <x:v>13</x:v>
      </x:c>
      <x:c r="X157" s="3" t="n">
        <x:f aca="0">IF(ISNUMBER(W157),W157*3.412142,"")</x:f>
        <x:v>44.357845999999995</x:v>
      </x:c>
      <x:c r="Y157" s="3" t="s">
        <x:v>271</x:v>
      </x:c>
      <x:c r="Z157" s="4"/>
      <x:c r="AA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</x:row>
    <x:row r="158" s="2" customFormat="1" ht="15.75" hidden="0" customHeight="1">
      <x:c r="A158" s="1" t="s">
        <x:v>252</x:v>
      </x:c>
      <x:c r="B158" s="1" t="s">
        <x:v>27</x:v>
      </x:c>
      <x:c r="C158" s="1" t="s">
        <x:v>722</x:v>
      </x:c>
      <x:c r="D158" s="1" t="s">
        <x:v>723</x:v>
      </x:c>
      <x:c r="E158" s="1" t="n">
        <x:v>810</x:v>
      </x:c>
      <x:c r="F158" s="1"/>
      <x:c r="G158" s="1"/>
      <x:c r="H158" s="1"/>
      <x:c r="I158" s="1"/>
      <x:c r="J158" s="13" t="s">
        <x:v>255</x:v>
      </x:c>
      <x:c r="K158" s="1" t="s">
        <x:v>710</x:v>
      </x:c>
      <x:c r="L158" s="3" t="s">
        <x:v>426</x:v>
      </x:c>
      <x:c r="M158" s="3" t="s">
        <x:v>426</x:v>
      </x:c>
      <x:c r="N158" s="3" t="s">
        <x:v>711</x:v>
      </x:c>
      <x:c r="O158" s="3"/>
      <x:c r="P158" s="3" t="s">
        <x:v>333</x:v>
      </x:c>
      <x:c r="Q158" s="3" t="s">
        <x:v>307</x:v>
      </x:c>
      <x:c r="R158" s="3" t="s">
        <x:v>156</x:v>
      </x:c>
      <x:c r="S158" s="3" t="s">
        <x:v>157</x:v>
      </x:c>
      <x:c r="T158" s="3" t="s">
        <x:v>158</x:v>
      </x:c>
      <x:c r="U158" s="3" t="s">
        <x:v>180</x:v>
      </x:c>
      <x:c r="V158" s="3" t="s">
        <x:v>308</x:v>
      </x:c>
      <x:c r="W158" s="3" t="n">
        <x:v>13</x:v>
      </x:c>
      <x:c r="X158" s="3" t="n">
        <x:f aca="0">IF(ISNUMBER(W158),W158*3.412142,"")</x:f>
        <x:v>44.357845999999995</x:v>
      </x:c>
      <x:c r="Y158" s="3" t="s">
        <x:v>271</x:v>
      </x:c>
      <x:c r="Z158" s="4"/>
      <x:c r="AA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</x:row>
    <x:row r="159" s="2" customFormat="1" ht="15.75" hidden="0" customHeight="1">
      <x:c r="A159" s="1" t="s">
        <x:v>252</x:v>
      </x:c>
      <x:c r="B159" s="1" t="s">
        <x:v>27</x:v>
      </x:c>
      <x:c r="C159" s="1" t="s">
        <x:v>724</x:v>
      </x:c>
      <x:c r="D159" s="1" t="s">
        <x:v>725</x:v>
      </x:c>
      <x:c r="E159" s="1" t="n">
        <x:v>810</x:v>
      </x:c>
      <x:c r="F159" s="1"/>
      <x:c r="G159" s="1"/>
      <x:c r="H159" s="1"/>
      <x:c r="I159" s="1"/>
      <x:c r="J159" s="13" t="s">
        <x:v>255</x:v>
      </x:c>
      <x:c r="K159" s="1" t="s">
        <x:v>710</x:v>
      </x:c>
      <x:c r="L159" s="3" t="s">
        <x:v>426</x:v>
      </x:c>
      <x:c r="M159" s="3" t="s">
        <x:v>426</x:v>
      </x:c>
      <x:c r="N159" s="3" t="s">
        <x:v>711</x:v>
      </x:c>
      <x:c r="O159" s="3"/>
      <x:c r="P159" s="3" t="s">
        <x:v>333</x:v>
      </x:c>
      <x:c r="Q159" s="3" t="s">
        <x:v>307</x:v>
      </x:c>
      <x:c r="R159" s="3" t="s">
        <x:v>156</x:v>
      </x:c>
      <x:c r="S159" s="3" t="s">
        <x:v>157</x:v>
      </x:c>
      <x:c r="T159" s="3" t="s">
        <x:v>158</x:v>
      </x:c>
      <x:c r="U159" s="3" t="s">
        <x:v>180</x:v>
      </x:c>
      <x:c r="V159" s="3" t="s">
        <x:v>308</x:v>
      </x:c>
      <x:c r="W159" s="3" t="n">
        <x:v>13</x:v>
      </x:c>
      <x:c r="X159" s="3" t="n">
        <x:f aca="0">IF(ISNUMBER(W159),W159*3.412142,"")</x:f>
        <x:v>44.357845999999995</x:v>
      </x:c>
      <x:c r="Y159" s="3" t="s">
        <x:v>271</x:v>
      </x:c>
      <x:c r="Z159" s="4"/>
      <x:c r="AA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</x:row>
    <x:row r="160" s="2" customFormat="1" ht="15.75" hidden="0" customHeight="1">
      <x:c r="A160" s="1" t="s">
        <x:v>252</x:v>
      </x:c>
      <x:c r="B160" s="1" t="s">
        <x:v>27</x:v>
      </x:c>
      <x:c r="C160" s="1" t="s">
        <x:v>726</x:v>
      </x:c>
      <x:c r="D160" s="1" t="s">
        <x:v>727</x:v>
      </x:c>
      <x:c r="E160" s="1" t="n">
        <x:v>810</x:v>
      </x:c>
      <x:c r="F160" s="1"/>
      <x:c r="G160" s="1"/>
      <x:c r="H160" s="1"/>
      <x:c r="I160" s="1"/>
      <x:c r="J160" s="13" t="s">
        <x:v>255</x:v>
      </x:c>
      <x:c r="K160" s="1" t="s">
        <x:v>710</x:v>
      </x:c>
      <x:c r="L160" s="3" t="s">
        <x:v>426</x:v>
      </x:c>
      <x:c r="M160" s="3" t="s">
        <x:v>426</x:v>
      </x:c>
      <x:c r="N160" s="3" t="s">
        <x:v>711</x:v>
      </x:c>
      <x:c r="O160" s="3"/>
      <x:c r="P160" s="3" t="s">
        <x:v>333</x:v>
      </x:c>
      <x:c r="Q160" s="3" t="s">
        <x:v>307</x:v>
      </x:c>
      <x:c r="R160" s="3" t="s">
        <x:v>156</x:v>
      </x:c>
      <x:c r="S160" s="3" t="s">
        <x:v>157</x:v>
      </x:c>
      <x:c r="T160" s="3" t="s">
        <x:v>158</x:v>
      </x:c>
      <x:c r="U160" s="3" t="s">
        <x:v>180</x:v>
      </x:c>
      <x:c r="V160" s="3" t="s">
        <x:v>308</x:v>
      </x:c>
      <x:c r="W160" s="3" t="n">
        <x:v>13</x:v>
      </x:c>
      <x:c r="X160" s="3" t="n">
        <x:f aca="0">IF(ISNUMBER(W160),W160*3.412142,"")</x:f>
        <x:v>44.357845999999995</x:v>
      </x:c>
      <x:c r="Y160" s="3" t="s">
        <x:v>271</x:v>
      </x:c>
      <x:c r="Z160" s="4"/>
      <x:c r="AA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</x:row>
    <x:row r="161" s="2" customFormat="1" ht="15.75" hidden="0" customHeight="1">
      <x:c r="A161" s="1" t="s">
        <x:v>252</x:v>
      </x:c>
      <x:c r="B161" s="1" t="s">
        <x:v>27</x:v>
      </x:c>
      <x:c r="C161" s="1" t="s">
        <x:v>728</x:v>
      </x:c>
      <x:c r="D161" s="1" t="s">
        <x:v>729</x:v>
      </x:c>
      <x:c r="E161" s="1" t="n">
        <x:v>810</x:v>
      </x:c>
      <x:c r="F161" s="1"/>
      <x:c r="G161" s="1"/>
      <x:c r="H161" s="1"/>
      <x:c r="I161" s="1"/>
      <x:c r="J161" s="13" t="s">
        <x:v>255</x:v>
      </x:c>
      <x:c r="K161" s="1" t="s">
        <x:v>710</x:v>
      </x:c>
      <x:c r="L161" s="3" t="s">
        <x:v>426</x:v>
      </x:c>
      <x:c r="M161" s="3" t="s">
        <x:v>426</x:v>
      </x:c>
      <x:c r="N161" s="3" t="s">
        <x:v>711</x:v>
      </x:c>
      <x:c r="O161" s="3"/>
      <x:c r="P161" s="3" t="s">
        <x:v>333</x:v>
      </x:c>
      <x:c r="Q161" s="3" t="s">
        <x:v>307</x:v>
      </x:c>
      <x:c r="R161" s="3" t="s">
        <x:v>156</x:v>
      </x:c>
      <x:c r="S161" s="3" t="s">
        <x:v>157</x:v>
      </x:c>
      <x:c r="T161" s="3" t="s">
        <x:v>158</x:v>
      </x:c>
      <x:c r="U161" s="3" t="s">
        <x:v>180</x:v>
      </x:c>
      <x:c r="V161" s="3" t="s">
        <x:v>308</x:v>
      </x:c>
      <x:c r="W161" s="3" t="n">
        <x:v>13</x:v>
      </x:c>
      <x:c r="X161" s="3" t="n">
        <x:f aca="0">IF(ISNUMBER(W161),W161*3.412142,"")</x:f>
        <x:v>44.357845999999995</x:v>
      </x:c>
      <x:c r="Y161" s="3" t="s">
        <x:v>271</x:v>
      </x:c>
      <x:c r="Z161" s="4"/>
      <x:c r="AA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</x:row>
    <x:row r="162" s="2" customFormat="1" ht="15.75" hidden="0" customHeight="1">
      <x:c r="A162" s="1" t="s">
        <x:v>252</x:v>
      </x:c>
      <x:c r="B162" s="1" t="s">
        <x:v>27</x:v>
      </x:c>
      <x:c r="C162" s="1" t="s">
        <x:v>730</x:v>
      </x:c>
      <x:c r="D162" s="1" t="s">
        <x:v>731</x:v>
      </x:c>
      <x:c r="E162" s="1" t="n">
        <x:v>1580</x:v>
      </x:c>
      <x:c r="F162" s="1"/>
      <x:c r="G162" s="1"/>
      <x:c r="H162" s="1"/>
      <x:c r="I162" s="1"/>
      <x:c r="J162" s="13" t="s">
        <x:v>255</x:v>
      </x:c>
      <x:c r="K162" s="1" t="s">
        <x:v>710</x:v>
      </x:c>
      <x:c r="L162" s="3" t="s">
        <x:v>62</x:v>
      </x:c>
      <x:c r="M162" s="3" t="s">
        <x:v>732</x:v>
      </x:c>
      <x:c r="N162" s="3" t="s">
        <x:v>293</x:v>
      </x:c>
      <x:c r="O162" s="3"/>
      <x:c r="P162" s="3" t="s">
        <x:v>49</x:v>
      </x:c>
      <x:c r="Q162" s="3" t="s">
        <x:v>307</x:v>
      </x:c>
      <x:c r="R162" s="3" t="s">
        <x:v>156</x:v>
      </x:c>
      <x:c r="S162" s="3" t="s">
        <x:v>157</x:v>
      </x:c>
      <x:c r="T162" s="3" t="s">
        <x:v>158</x:v>
      </x:c>
      <x:c r="U162" s="3" t="s">
        <x:v>180</x:v>
      </x:c>
      <x:c r="V162" s="3" t="s">
        <x:v>181</x:v>
      </x:c>
      <x:c r="W162" s="3" t="n">
        <x:v>25.5</x:v>
      </x:c>
      <x:c r="X162" s="3" t="n">
        <x:f aca="0">IF(ISNUMBER(W162),W162*3.412142,"")</x:f>
        <x:v>87.009621</x:v>
      </x:c>
      <x:c r="Y162" s="3" t="s">
        <x:v>277</x:v>
      </x:c>
      <x:c r="Z162" s="4" t="s">
        <x:v>733</x:v>
      </x:c>
      <x:c r="AA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</x:row>
    <x:row r="163" s="2" customFormat="1" ht="15.75" hidden="0" customHeight="1">
      <x:c r="A163" s="1" t="s">
        <x:v>252</x:v>
      </x:c>
      <x:c r="B163" s="1" t="s">
        <x:v>27</x:v>
      </x:c>
      <x:c r="C163" s="1" t="s">
        <x:v>734</x:v>
      </x:c>
      <x:c r="D163" s="1" t="s">
        <x:v>735</x:v>
      </x:c>
      <x:c r="E163" s="1" t="n">
        <x:v>1210</x:v>
      </x:c>
      <x:c r="F163" s="1"/>
      <x:c r="G163" s="1"/>
      <x:c r="H163" s="1"/>
      <x:c r="I163" s="1"/>
      <x:c r="J163" s="13" t="s">
        <x:v>255</x:v>
      </x:c>
      <x:c r="K163" s="1" t="s">
        <x:v>736</x:v>
      </x:c>
      <x:c r="L163" s="3" t="s">
        <x:v>46</x:v>
      </x:c>
      <x:c r="M163" s="3" t="s">
        <x:v>56</x:v>
      </x:c>
      <x:c r="N163" s="3" t="s">
        <x:v>48</x:v>
      </x:c>
      <x:c r="O163" s="3"/>
      <x:c r="P163" s="3" t="s">
        <x:v>49</x:v>
      </x:c>
      <x:c r="Q163" s="3" t="s">
        <x:v>36</x:v>
      </x:c>
      <x:c r="R163" s="3" t="s">
        <x:v>37</x:v>
      </x:c>
      <x:c r="S163" s="3" t="s">
        <x:v>38</x:v>
      </x:c>
      <x:c r="T163" s="3" t="s">
        <x:v>39</x:v>
      </x:c>
      <x:c r="U163" s="3" t="s">
        <x:v>40</x:v>
      </x:c>
      <x:c r="V163" s="3" t="s">
        <x:v>737</x:v>
      </x:c>
      <x:c r="W163" s="3" t="n">
        <x:v>25</x:v>
      </x:c>
      <x:c r="X163" s="3" t="n">
        <x:f aca="0">IF(ISNUMBER(W163),W163*3.412142,"")</x:f>
        <x:v>85.30355</x:v>
      </x:c>
      <x:c r="Y163" s="3" t="s">
        <x:v>42</x:v>
      </x:c>
      <x:c r="Z163" s="4" t="s">
        <x:v>738</x:v>
      </x:c>
      <x:c r="AA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</x:row>
    <x:row r="164" s="2" customFormat="1" ht="15.75" hidden="0" customHeight="1">
      <x:c r="A164" s="1" t="s">
        <x:v>252</x:v>
      </x:c>
      <x:c r="B164" s="1" t="s">
        <x:v>27</x:v>
      </x:c>
      <x:c r="C164" s="1" t="s">
        <x:v>739</x:v>
      </x:c>
      <x:c r="D164" s="1" t="s">
        <x:v>740</x:v>
      </x:c>
      <x:c r="E164" s="1" t="n">
        <x:v>1210</x:v>
      </x:c>
      <x:c r="F164" s="1"/>
      <x:c r="G164" s="1"/>
      <x:c r="H164" s="1"/>
      <x:c r="I164" s="1"/>
      <x:c r="J164" s="13" t="s">
        <x:v>255</x:v>
      </x:c>
      <x:c r="K164" s="1" t="s">
        <x:v>741</x:v>
      </x:c>
      <x:c r="L164" s="3" t="s">
        <x:v>46</x:v>
      </x:c>
      <x:c r="M164" s="3" t="s">
        <x:v>131</x:v>
      </x:c>
      <x:c r="N164" s="3" t="s">
        <x:v>48</x:v>
      </x:c>
      <x:c r="O164" s="3"/>
      <x:c r="P164" s="3" t="s">
        <x:v>132</x:v>
      </x:c>
      <x:c r="Q164" s="3" t="s">
        <x:v>36</x:v>
      </x:c>
      <x:c r="R164" s="3" t="s">
        <x:v>37</x:v>
      </x:c>
      <x:c r="S164" s="3" t="s">
        <x:v>38</x:v>
      </x:c>
      <x:c r="T164" s="3" t="s">
        <x:v>39</x:v>
      </x:c>
      <x:c r="U164" s="3" t="s">
        <x:v>133</x:v>
      </x:c>
      <x:c r="V164" s="3" t="s">
        <x:v>134</x:v>
      </x:c>
      <x:c r="W164" s="3" t="n">
        <x:v>12</x:v>
      </x:c>
      <x:c r="X164" s="3" t="n">
        <x:f aca="0">IF(ISNUMBER(W164),W164*3.412142,"")</x:f>
        <x:v>40.945704</x:v>
      </x:c>
      <x:c r="Y164" s="3" t="s">
        <x:v>135</x:v>
      </x:c>
      <x:c r="Z164" s="4" t="s">
        <x:v>742</x:v>
      </x:c>
      <x:c r="AA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</x:row>
    <x:row r="165" s="2" customFormat="1" ht="15.75" hidden="0" customHeight="1">
      <x:c r="A165" s="1" t="s">
        <x:v>252</x:v>
      </x:c>
      <x:c r="B165" s="1" t="s">
        <x:v>27</x:v>
      </x:c>
      <x:c r="C165" s="1" t="s">
        <x:v>743</x:v>
      </x:c>
      <x:c r="D165" s="1" t="s">
        <x:v>744</x:v>
      </x:c>
      <x:c r="E165" s="1" t="n">
        <x:v>1940</x:v>
      </x:c>
      <x:c r="F165" s="1"/>
      <x:c r="G165" s="1"/>
      <x:c r="H165" s="1"/>
      <x:c r="I165" s="1"/>
      <x:c r="J165" s="13" t="s">
        <x:v>255</x:v>
      </x:c>
      <x:c r="K165" s="1" t="s">
        <x:v>745</x:v>
      </x:c>
      <x:c r="L165" s="3" t="s">
        <x:v>46</x:v>
      </x:c>
      <x:c r="M165" s="3" t="s">
        <x:v>131</x:v>
      </x:c>
      <x:c r="N165" s="3" t="s">
        <x:v>48</x:v>
      </x:c>
      <x:c r="O165" s="3"/>
      <x:c r="P165" s="3" t="s">
        <x:v>132</x:v>
      </x:c>
      <x:c r="Q165" s="3" t="s">
        <x:v>36</x:v>
      </x:c>
      <x:c r="R165" s="3" t="s">
        <x:v>37</x:v>
      </x:c>
      <x:c r="S165" s="3" t="s">
        <x:v>38</x:v>
      </x:c>
      <x:c r="T165" s="3" t="s">
        <x:v>39</x:v>
      </x:c>
      <x:c r="U165" s="3" t="s">
        <x:v>40</x:v>
      </x:c>
      <x:c r="V165" s="3" t="s">
        <x:v>737</x:v>
      </x:c>
      <x:c r="W165" s="3" t="n">
        <x:v>25</x:v>
      </x:c>
      <x:c r="X165" s="3" t="n">
        <x:f aca="0">IF(ISNUMBER(W165),W165*3.412142,"")</x:f>
        <x:v>85.30355</x:v>
      </x:c>
      <x:c r="Y165" s="3" t="s">
        <x:v>42</x:v>
      </x:c>
      <x:c r="Z165" s="4" t="s">
        <x:v>746</x:v>
      </x:c>
      <x:c r="AA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</x:row>
    <x:row r="166" s="2" customFormat="1" ht="15.75" hidden="0" customHeight="1">
      <x:c r="A166" s="1" t="s">
        <x:v>252</x:v>
      </x:c>
      <x:c r="B166" s="1" t="s">
        <x:v>27</x:v>
      </x:c>
      <x:c r="C166" s="1" t="s">
        <x:v>747</x:v>
      </x:c>
      <x:c r="D166" s="1" t="s">
        <x:v>748</x:v>
      </x:c>
      <x:c r="E166" s="1" t="n">
        <x:v>1210</x:v>
      </x:c>
      <x:c r="F166" s="1"/>
      <x:c r="G166" s="1"/>
      <x:c r="H166" s="1"/>
      <x:c r="I166" s="1"/>
      <x:c r="J166" s="13" t="s">
        <x:v>255</x:v>
      </x:c>
      <x:c r="K166" s="1" t="s">
        <x:v>749</x:v>
      </x:c>
      <x:c r="L166" s="3" t="s">
        <x:v>151</x:v>
      </x:c>
      <x:c r="M166" s="3" t="s">
        <x:v>152</x:v>
      </x:c>
      <x:c r="N166" s="3" t="s">
        <x:v>305</x:v>
      </x:c>
      <x:c r="O166" s="3"/>
      <x:c r="P166" s="3" t="s">
        <x:v>306</x:v>
      </x:c>
      <x:c r="Q166" s="3" t="s">
        <x:v>307</x:v>
      </x:c>
      <x:c r="R166" s="3" t="s">
        <x:v>156</x:v>
      </x:c>
      <x:c r="S166" s="3" t="s">
        <x:v>157</x:v>
      </x:c>
      <x:c r="T166" s="3" t="s">
        <x:v>158</x:v>
      </x:c>
      <x:c r="U166" s="3" t="s">
        <x:v>133</x:v>
      </x:c>
      <x:c r="V166" s="3" t="s">
        <x:v>750</x:v>
      </x:c>
      <x:c r="W166" s="3" t="n">
        <x:v>6</x:v>
      </x:c>
      <x:c r="X166" s="3" t="n">
        <x:f aca="0">IF(ISNUMBER(W166),W166*3.412142,"")</x:f>
        <x:v>20.472852</x:v>
      </x:c>
      <x:c r="Y166" s="3" t="s">
        <x:v>135</x:v>
      </x:c>
      <x:c r="Z166" s="4"/>
      <x:c r="AA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</x:row>
    <x:row r="167" s="2" customFormat="1" ht="15.75" hidden="0" customHeight="1">
      <x:c r="A167" s="1" t="s">
        <x:v>252</x:v>
      </x:c>
      <x:c r="B167" s="1" t="s">
        <x:v>27</x:v>
      </x:c>
      <x:c r="C167" s="1" t="s">
        <x:v>751</x:v>
      </x:c>
      <x:c r="D167" s="1" t="s">
        <x:v>752</x:v>
      </x:c>
      <x:c r="E167" s="1" t="n">
        <x:v>1540</x:v>
      </x:c>
      <x:c r="F167" s="1"/>
      <x:c r="G167" s="1"/>
      <x:c r="H167" s="1"/>
      <x:c r="I167" s="1"/>
      <x:c r="J167" s="13" t="s">
        <x:v>255</x:v>
      </x:c>
      <x:c r="K167" s="1" t="s">
        <x:v>749</x:v>
      </x:c>
      <x:c r="L167" s="3" t="s">
        <x:v>151</x:v>
      </x:c>
      <x:c r="M167" s="3" t="s">
        <x:v>304</x:v>
      </x:c>
      <x:c r="N167" s="3" t="s">
        <x:v>305</x:v>
      </x:c>
      <x:c r="O167" s="3"/>
      <x:c r="P167" s="3" t="s">
        <x:v>306</x:v>
      </x:c>
      <x:c r="Q167" s="3" t="s">
        <x:v>307</x:v>
      </x:c>
      <x:c r="R167" s="3" t="s">
        <x:v>156</x:v>
      </x:c>
      <x:c r="S167" s="3" t="s">
        <x:v>157</x:v>
      </x:c>
      <x:c r="T167" s="3" t="s">
        <x:v>158</x:v>
      </x:c>
      <x:c r="U167" s="3" t="s">
        <x:v>133</x:v>
      </x:c>
      <x:c r="V167" s="3" t="s">
        <x:v>750</x:v>
      </x:c>
      <x:c r="W167" s="3" t="n">
        <x:v>6</x:v>
      </x:c>
      <x:c r="X167" s="3" t="n">
        <x:f aca="0">IF(ISNUMBER(W167),W167*3.412142,"")</x:f>
        <x:v>20.472852</x:v>
      </x:c>
      <x:c r="Y167" s="3" t="s">
        <x:v>135</x:v>
      </x:c>
      <x:c r="Z167" s="4" t="s">
        <x:v>753</x:v>
      </x:c>
      <x:c r="AA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</x:row>
    <x:row r="168" s="2" customFormat="1" ht="15.75" hidden="0" customHeight="1">
      <x:c r="A168" s="1" t="s">
        <x:v>252</x:v>
      </x:c>
      <x:c r="B168" s="1" t="s">
        <x:v>27</x:v>
      </x:c>
      <x:c r="C168" s="1" t="s">
        <x:v>754</x:v>
      </x:c>
      <x:c r="D168" s="1" t="s">
        <x:v>755</x:v>
      </x:c>
      <x:c r="E168" s="1" t="n">
        <x:v>1450</x:v>
      </x:c>
      <x:c r="F168" s="1"/>
      <x:c r="G168" s="1"/>
      <x:c r="H168" s="1"/>
      <x:c r="I168" s="1"/>
      <x:c r="J168" s="13" t="s">
        <x:v>255</x:v>
      </x:c>
      <x:c r="K168" s="1" t="s">
        <x:v>749</x:v>
      </x:c>
      <x:c r="L168" s="3" t="s">
        <x:v>151</x:v>
      </x:c>
      <x:c r="M168" s="3" t="s">
        <x:v>304</x:v>
      </x:c>
      <x:c r="N168" s="3" t="s">
        <x:v>305</x:v>
      </x:c>
      <x:c r="O168" s="3"/>
      <x:c r="P168" s="3" t="s">
        <x:v>306</x:v>
      </x:c>
      <x:c r="Q168" s="3" t="s">
        <x:v>307</x:v>
      </x:c>
      <x:c r="R168" s="3" t="s">
        <x:v>156</x:v>
      </x:c>
      <x:c r="S168" s="3" t="s">
        <x:v>157</x:v>
      </x:c>
      <x:c r="T168" s="3" t="s">
        <x:v>158</x:v>
      </x:c>
      <x:c r="U168" s="3" t="s">
        <x:v>133</x:v>
      </x:c>
      <x:c r="V168" s="3" t="s">
        <x:v>750</x:v>
      </x:c>
      <x:c r="W168" s="3" t="n">
        <x:v>6</x:v>
      </x:c>
      <x:c r="X168" s="3" t="n">
        <x:f aca="0">IF(ISNUMBER(W168),W168*3.412142,"")</x:f>
        <x:v>20.472852</x:v>
      </x:c>
      <x:c r="Y168" s="3" t="s">
        <x:v>135</x:v>
      </x:c>
      <x:c r="Z168" s="4"/>
      <x:c r="AA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</x:row>
    <x:row r="169" s="2" customFormat="1" ht="15.75" hidden="0" customHeight="1">
      <x:c r="A169" s="1" t="s">
        <x:v>252</x:v>
      </x:c>
      <x:c r="B169" s="1" t="s">
        <x:v>27</x:v>
      </x:c>
      <x:c r="C169" s="1" t="s">
        <x:v>756</x:v>
      </x:c>
      <x:c r="D169" s="1" t="s">
        <x:v>757</x:v>
      </x:c>
      <x:c r="E169" s="1" t="n">
        <x:v>1780</x:v>
      </x:c>
      <x:c r="F169" s="1"/>
      <x:c r="G169" s="1"/>
      <x:c r="H169" s="1"/>
      <x:c r="I169" s="1"/>
      <x:c r="J169" s="13" t="s">
        <x:v>255</x:v>
      </x:c>
      <x:c r="K169" s="1" t="s">
        <x:v>749</x:v>
      </x:c>
      <x:c r="L169" s="3" t="s">
        <x:v>151</x:v>
      </x:c>
      <x:c r="M169" s="3" t="s">
        <x:v>304</x:v>
      </x:c>
      <x:c r="N169" s="3" t="s">
        <x:v>305</x:v>
      </x:c>
      <x:c r="O169" s="3"/>
      <x:c r="P169" s="3" t="s">
        <x:v>306</x:v>
      </x:c>
      <x:c r="Q169" s="3" t="s">
        <x:v>307</x:v>
      </x:c>
      <x:c r="R169" s="3" t="s">
        <x:v>156</x:v>
      </x:c>
      <x:c r="S169" s="3" t="s">
        <x:v>157</x:v>
      </x:c>
      <x:c r="T169" s="3" t="s">
        <x:v>158</x:v>
      </x:c>
      <x:c r="U169" s="3" t="s">
        <x:v>133</x:v>
      </x:c>
      <x:c r="V169" s="3" t="s">
        <x:v>750</x:v>
      </x:c>
      <x:c r="W169" s="3" t="n">
        <x:v>6</x:v>
      </x:c>
      <x:c r="X169" s="3" t="n">
        <x:f aca="0">IF(ISNUMBER(W169),W169*3.412142,"")</x:f>
        <x:v>20.472852</x:v>
      </x:c>
      <x:c r="Y169" s="3" t="s">
        <x:v>135</x:v>
      </x:c>
      <x:c r="Z169" s="4"/>
      <x:c r="AA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</x:row>
    <x:row r="170" s="2" customFormat="1" ht="15.75" hidden="0" customHeight="1">
      <x:c r="A170" s="1" t="s">
        <x:v>252</x:v>
      </x:c>
      <x:c r="B170" s="1" t="s">
        <x:v>27</x:v>
      </x:c>
      <x:c r="C170" s="1" t="s">
        <x:v>758</x:v>
      </x:c>
      <x:c r="D170" s="1" t="s">
        <x:v>759</x:v>
      </x:c>
      <x:c r="E170" s="1" t="n">
        <x:v>2300</x:v>
      </x:c>
      <x:c r="F170" s="1"/>
      <x:c r="G170" s="1"/>
      <x:c r="H170" s="1"/>
      <x:c r="I170" s="1"/>
      <x:c r="J170" s="13" t="s">
        <x:v>255</x:v>
      </x:c>
      <x:c r="K170" s="1" t="s">
        <x:v>749</x:v>
      </x:c>
      <x:c r="L170" s="3" t="s">
        <x:v>151</x:v>
      </x:c>
      <x:c r="M170" s="3" t="s">
        <x:v>304</x:v>
      </x:c>
      <x:c r="N170" s="3" t="s">
        <x:v>305</x:v>
      </x:c>
      <x:c r="O170" s="3"/>
      <x:c r="P170" s="3" t="s">
        <x:v>306</x:v>
      </x:c>
      <x:c r="Q170" s="3" t="s">
        <x:v>307</x:v>
      </x:c>
      <x:c r="R170" s="3" t="s">
        <x:v>156</x:v>
      </x:c>
      <x:c r="S170" s="3" t="s">
        <x:v>157</x:v>
      </x:c>
      <x:c r="T170" s="3" t="s">
        <x:v>158</x:v>
      </x:c>
      <x:c r="U170" s="3" t="s">
        <x:v>133</x:v>
      </x:c>
      <x:c r="V170" s="3" t="s">
        <x:v>750</x:v>
      </x:c>
      <x:c r="W170" s="3" t="n">
        <x:v>6</x:v>
      </x:c>
      <x:c r="X170" s="3" t="n">
        <x:f aca="0">IF(ISNUMBER(W170),W170*3.412142,"")</x:f>
        <x:v>20.472852</x:v>
      </x:c>
      <x:c r="Y170" s="3" t="s">
        <x:v>135</x:v>
      </x:c>
      <x:c r="Z170" s="4"/>
      <x:c r="AA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</x:row>
    <x:row r="171" s="2" customFormat="1" ht="15.75" hidden="0" customHeight="1">
      <x:c r="A171" s="1" t="s">
        <x:v>252</x:v>
      </x:c>
      <x:c r="B171" s="1" t="s">
        <x:v>27</x:v>
      </x:c>
      <x:c r="C171" s="1" t="s">
        <x:v>760</x:v>
      </x:c>
      <x:c r="D171" s="1" t="s">
        <x:v>761</x:v>
      </x:c>
      <x:c r="E171" s="1" t="n">
        <x:v>800</x:v>
      </x:c>
      <x:c r="F171" s="1"/>
      <x:c r="G171" s="1"/>
      <x:c r="H171" s="1"/>
      <x:c r="I171" s="1"/>
      <x:c r="J171" s="13" t="s">
        <x:v>255</x:v>
      </x:c>
      <x:c r="K171" s="1" t="s">
        <x:v>762</x:v>
      </x:c>
      <x:c r="L171" s="3" t="s">
        <x:v>151</x:v>
      </x:c>
      <x:c r="M171" s="3" t="s">
        <x:v>304</x:v>
      </x:c>
      <x:c r="N171" s="3" t="s">
        <x:v>305</x:v>
      </x:c>
      <x:c r="O171" s="3"/>
      <x:c r="P171" s="3" t="s">
        <x:v>306</x:v>
      </x:c>
      <x:c r="Q171" s="3" t="s">
        <x:v>307</x:v>
      </x:c>
      <x:c r="R171" s="3" t="s">
        <x:v>156</x:v>
      </x:c>
      <x:c r="S171" s="3" t="s">
        <x:v>157</x:v>
      </x:c>
      <x:c r="T171" s="3" t="s">
        <x:v>158</x:v>
      </x:c>
      <x:c r="U171" s="3" t="s">
        <x:v>133</x:v>
      </x:c>
      <x:c r="V171" s="3" t="s">
        <x:v>750</x:v>
      </x:c>
      <x:c r="W171" s="3" t="n">
        <x:v>6</x:v>
      </x:c>
      <x:c r="X171" s="3" t="n">
        <x:f aca="0">IF(ISNUMBER(W171),W171*3.412142,"")</x:f>
        <x:v>20.472852</x:v>
      </x:c>
      <x:c r="Y171" s="3" t="s">
        <x:v>135</x:v>
      </x:c>
      <x:c r="Z171" s="4" t="s">
        <x:v>763</x:v>
      </x:c>
      <x:c r="AA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</x:row>
    <x:row r="172" s="2" customFormat="1" ht="15.75" hidden="0" customHeight="1">
      <x:c r="A172" s="1" t="s">
        <x:v>252</x:v>
      </x:c>
      <x:c r="B172" s="1" t="s">
        <x:v>27</x:v>
      </x:c>
      <x:c r="C172" s="1" t="s">
        <x:v>764</x:v>
      </x:c>
      <x:c r="D172" s="1" t="s">
        <x:v>765</x:v>
      </x:c>
      <x:c r="E172" s="1" t="n">
        <x:v>870</x:v>
      </x:c>
      <x:c r="F172" s="1"/>
      <x:c r="G172" s="1"/>
      <x:c r="H172" s="1"/>
      <x:c r="I172" s="1"/>
      <x:c r="J172" s="13" t="s">
        <x:v>255</x:v>
      </x:c>
      <x:c r="K172" s="1" t="s">
        <x:v>762</x:v>
      </x:c>
      <x:c r="L172" s="3" t="s">
        <x:v>151</x:v>
      </x:c>
      <x:c r="M172" s="3" t="s">
        <x:v>304</x:v>
      </x:c>
      <x:c r="N172" s="3" t="s">
        <x:v>305</x:v>
      </x:c>
      <x:c r="O172" s="3"/>
      <x:c r="P172" s="3" t="s">
        <x:v>306</x:v>
      </x:c>
      <x:c r="Q172" s="3" t="s">
        <x:v>307</x:v>
      </x:c>
      <x:c r="R172" s="3" t="s">
        <x:v>156</x:v>
      </x:c>
      <x:c r="S172" s="3" t="s">
        <x:v>157</x:v>
      </x:c>
      <x:c r="T172" s="3" t="s">
        <x:v>158</x:v>
      </x:c>
      <x:c r="U172" s="3" t="s">
        <x:v>133</x:v>
      </x:c>
      <x:c r="V172" s="3" t="s">
        <x:v>750</x:v>
      </x:c>
      <x:c r="W172" s="3" t="n">
        <x:v>6</x:v>
      </x:c>
      <x:c r="X172" s="3" t="n">
        <x:f aca="0">IF(ISNUMBER(W172),W172*3.412142,"")</x:f>
        <x:v>20.472852</x:v>
      </x:c>
      <x:c r="Y172" s="3" t="s">
        <x:v>135</x:v>
      </x:c>
      <x:c r="Z172" s="4" t="s">
        <x:v>766</x:v>
      </x:c>
      <x:c r="AA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</x:row>
    <x:row r="173" s="2" customFormat="1" ht="15.75" hidden="0" customHeight="1">
      <x:c r="A173" s="1" t="s">
        <x:v>252</x:v>
      </x:c>
      <x:c r="B173" s="1" t="s">
        <x:v>27</x:v>
      </x:c>
      <x:c r="C173" s="1" t="s">
        <x:v>767</x:v>
      </x:c>
      <x:c r="D173" s="1" t="s">
        <x:v>768</x:v>
      </x:c>
      <x:c r="E173" s="1" t="n">
        <x:v>1870</x:v>
      </x:c>
      <x:c r="F173" s="1"/>
      <x:c r="G173" s="1"/>
      <x:c r="H173" s="1"/>
      <x:c r="I173" s="1"/>
      <x:c r="J173" s="13" t="s">
        <x:v>255</x:v>
      </x:c>
      <x:c r="K173" s="1" t="s">
        <x:v>769</x:v>
      </x:c>
      <x:c r="L173" s="3" t="s">
        <x:v>151</x:v>
      </x:c>
      <x:c r="M173" s="3" t="s">
        <x:v>304</x:v>
      </x:c>
      <x:c r="N173" s="3" t="s">
        <x:v>305</x:v>
      </x:c>
      <x:c r="O173" s="3"/>
      <x:c r="P173" s="3" t="s">
        <x:v>306</x:v>
      </x:c>
      <x:c r="Q173" s="3" t="s">
        <x:v>307</x:v>
      </x:c>
      <x:c r="R173" s="3" t="s">
        <x:v>156</x:v>
      </x:c>
      <x:c r="S173" s="3" t="s">
        <x:v>157</x:v>
      </x:c>
      <x:c r="T173" s="3" t="s">
        <x:v>158</x:v>
      </x:c>
      <x:c r="U173" s="3" t="s">
        <x:v>133</x:v>
      </x:c>
      <x:c r="V173" s="3" t="s">
        <x:v>750</x:v>
      </x:c>
      <x:c r="W173" s="3" t="n">
        <x:v>6</x:v>
      </x:c>
      <x:c r="X173" s="3" t="n">
        <x:f aca="0">IF(ISNUMBER(W173),W173*3.412142,"")</x:f>
        <x:v>20.472852</x:v>
      </x:c>
      <x:c r="Y173" s="3" t="s">
        <x:v>135</x:v>
      </x:c>
      <x:c r="Z173" s="4"/>
      <x:c r="AA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</x:row>
    <x:row r="174" s="2" customFormat="1" ht="15.75" hidden="0" customHeight="1">
      <x:c r="A174" s="1" t="s">
        <x:v>227</x:v>
      </x:c>
      <x:c r="B174" s="1" t="s">
        <x:v>27</x:v>
      </x:c>
      <x:c r="C174" s="1" t="s">
        <x:v>770</x:v>
      </x:c>
      <x:c r="D174" s="1" t="s">
        <x:v>771</x:v>
      </x:c>
      <x:c r="E174" s="1" t="n">
        <x:v>2720</x:v>
      </x:c>
      <x:c r="F174" s="1"/>
      <x:c r="G174" s="1"/>
      <x:c r="H174" s="1"/>
      <x:c r="I174" s="1"/>
      <x:c r="J174" s="12" t="s">
        <x:v>230</x:v>
      </x:c>
      <x:c r="K174" s="1" t="s">
        <x:v>772</x:v>
      </x:c>
      <x:c r="L174" s="3" t="s">
        <x:v>55</x:v>
      </x:c>
      <x:c r="M174" s="3" t="s">
        <x:v>63</x:v>
      </x:c>
      <x:c r="N174" s="3" t="s">
        <x:v>118</x:v>
      </x:c>
      <x:c r="O174" s="3"/>
      <x:c r="P174" s="3" t="s">
        <x:v>232</x:v>
      </x:c>
      <x:c r="Q174" s="3" t="s">
        <x:v>66</x:v>
      </x:c>
      <x:c r="R174" s="3" t="s">
        <x:v>67</x:v>
      </x:c>
      <x:c r="S174" s="3" t="s">
        <x:v>68</x:v>
      </x:c>
      <x:c r="T174" s="3" t="s">
        <x:v>39</x:v>
      </x:c>
      <x:c r="U174" s="3" t="s">
        <x:v>40</x:v>
      </x:c>
      <x:c r="V174" s="3" t="s">
        <x:v>773</x:v>
      </x:c>
      <x:c r="W174" s="3" t="n">
        <x:v>300</x:v>
      </x:c>
      <x:c r="X174" s="3" t="n">
        <x:f aca="0">IF(ISNUMBER(W174),W174*3.412142,"")</x:f>
        <x:v>1023.6425999999999</x:v>
      </x:c>
      <x:c r="Y174" s="3" t="s">
        <x:v>42</x:v>
      </x:c>
      <x:c r="Z174" s="4"/>
      <x:c r="AA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</x:row>
    <x:row r="175" s="2" customFormat="1" ht="15.75" hidden="0" customHeight="1">
      <x:c r="A175" s="1" t="s">
        <x:v>227</x:v>
      </x:c>
      <x:c r="B175" s="1" t="s">
        <x:v>27</x:v>
      </x:c>
      <x:c r="C175" s="1" t="s">
        <x:v>774</x:v>
      </x:c>
      <x:c r="D175" s="1" t="s">
        <x:v>775</x:v>
      </x:c>
      <x:c r="E175" s="1" t="n">
        <x:v>3980</x:v>
      </x:c>
      <x:c r="F175" s="1"/>
      <x:c r="G175" s="1"/>
      <x:c r="H175" s="1"/>
      <x:c r="I175" s="1"/>
      <x:c r="J175" s="12" t="s">
        <x:v>230</x:v>
      </x:c>
      <x:c r="K175" s="1" t="s">
        <x:v>776</x:v>
      </x:c>
      <x:c r="L175" s="3" t="s">
        <x:v>55</x:v>
      </x:c>
      <x:c r="M175" s="3" t="s">
        <x:v>63</x:v>
      </x:c>
      <x:c r="N175" s="3" t="s">
        <x:v>118</x:v>
      </x:c>
      <x:c r="O175" s="3"/>
      <x:c r="P175" s="3" t="s">
        <x:v>232</x:v>
      </x:c>
      <x:c r="Q175" s="3" t="s">
        <x:v>66</x:v>
      </x:c>
      <x:c r="R175" s="3" t="s">
        <x:v>67</x:v>
      </x:c>
      <x:c r="S175" s="3" t="s">
        <x:v>68</x:v>
      </x:c>
      <x:c r="T175" s="3" t="s">
        <x:v>39</x:v>
      </x:c>
      <x:c r="U175" s="3" t="s">
        <x:v>40</x:v>
      </x:c>
      <x:c r="V175" s="3" t="s">
        <x:v>773</x:v>
      </x:c>
      <x:c r="W175" s="3" t="n">
        <x:v>300</x:v>
      </x:c>
      <x:c r="X175" s="3" t="n">
        <x:f aca="0">IF(ISNUMBER(W175),W175*3.412142,"")</x:f>
        <x:v>1023.6425999999999</x:v>
      </x:c>
      <x:c r="Y175" s="3" t="s">
        <x:v>42</x:v>
      </x:c>
      <x:c r="Z175" s="4"/>
      <x:c r="AA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</x:row>
    <x:row r="176" s="2" customFormat="1" ht="15.75" hidden="0" customHeight="1">
      <x:c r="A176" s="1" t="s">
        <x:v>227</x:v>
      </x:c>
      <x:c r="B176" s="1" t="s">
        <x:v>27</x:v>
      </x:c>
      <x:c r="C176" s="1" t="s">
        <x:v>777</x:v>
      </x:c>
      <x:c r="D176" s="1" t="s">
        <x:v>778</x:v>
      </x:c>
      <x:c r="E176" s="1" t="n">
        <x:v>3770</x:v>
      </x:c>
      <x:c r="F176" s="1"/>
      <x:c r="G176" s="1"/>
      <x:c r="H176" s="1"/>
      <x:c r="I176" s="1"/>
      <x:c r="J176" s="12" t="s">
        <x:v>230</x:v>
      </x:c>
      <x:c r="K176" s="1" t="s">
        <x:v>779</x:v>
      </x:c>
      <x:c r="L176" s="3" t="s">
        <x:v>55</x:v>
      </x:c>
      <x:c r="M176" s="3" t="s">
        <x:v>63</x:v>
      </x:c>
      <x:c r="N176" s="3" t="s">
        <x:v>118</x:v>
      </x:c>
      <x:c r="O176" s="3"/>
      <x:c r="P176" s="3" t="s">
        <x:v>232</x:v>
      </x:c>
      <x:c r="Q176" s="3" t="s">
        <x:v>66</x:v>
      </x:c>
      <x:c r="R176" s="3" t="s">
        <x:v>67</x:v>
      </x:c>
      <x:c r="S176" s="3" t="s">
        <x:v>68</x:v>
      </x:c>
      <x:c r="T176" s="3" t="s">
        <x:v>39</x:v>
      </x:c>
      <x:c r="U176" s="3" t="s">
        <x:v>40</x:v>
      </x:c>
      <x:c r="V176" s="3" t="s">
        <x:v>780</x:v>
      </x:c>
      <x:c r="W176" s="3" t="n">
        <x:v>500</x:v>
      </x:c>
      <x:c r="X176" s="3" t="n">
        <x:f aca="0">IF(ISNUMBER(W176),W176*3.412142,"")</x:f>
        <x:v>1706.071</x:v>
      </x:c>
      <x:c r="Y176" s="3" t="s">
        <x:v>42</x:v>
      </x:c>
      <x:c r="Z176" s="4"/>
      <x:c r="AA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</x:row>
    <x:row r="177" s="2" customFormat="1" ht="15.75" hidden="0" customHeight="1">
      <x:c r="A177" s="1" t="s">
        <x:v>227</x:v>
      </x:c>
      <x:c r="B177" s="1" t="s">
        <x:v>27</x:v>
      </x:c>
      <x:c r="C177" s="1" t="s">
        <x:v>781</x:v>
      </x:c>
      <x:c r="D177" s="1" t="s">
        <x:v>782</x:v>
      </x:c>
      <x:c r="E177" s="1" t="n">
        <x:v>1820</x:v>
      </x:c>
      <x:c r="F177" s="1"/>
      <x:c r="G177" s="1"/>
      <x:c r="H177" s="1"/>
      <x:c r="I177" s="1"/>
      <x:c r="J177" s="12" t="s">
        <x:v>230</x:v>
      </x:c>
      <x:c r="K177" s="1" t="s">
        <x:v>783</x:v>
      </x:c>
      <x:c r="L177" s="3" t="s">
        <x:v>55</x:v>
      </x:c>
      <x:c r="M177" s="3" t="s">
        <x:v>63</x:v>
      </x:c>
      <x:c r="N177" s="3" t="s">
        <x:v>118</x:v>
      </x:c>
      <x:c r="O177" s="3"/>
      <x:c r="P177" s="3" t="s">
        <x:v>232</x:v>
      </x:c>
      <x:c r="Q177" s="3" t="s">
        <x:v>66</x:v>
      </x:c>
      <x:c r="R177" s="3" t="s">
        <x:v>67</x:v>
      </x:c>
      <x:c r="S177" s="3" t="s">
        <x:v>68</x:v>
      </x:c>
      <x:c r="T177" s="3" t="s">
        <x:v>39</x:v>
      </x:c>
      <x:c r="U177" s="3" t="s">
        <x:v>40</x:v>
      </x:c>
      <x:c r="V177" s="3" t="s">
        <x:v>233</x:v>
      </x:c>
      <x:c r="W177" s="3" t="n">
        <x:v>150</x:v>
      </x:c>
      <x:c r="X177" s="3" t="n">
        <x:f aca="0">IF(ISNUMBER(W177),W177*3.412142,"")</x:f>
        <x:v>511.82129999999995</x:v>
      </x:c>
      <x:c r="Y177" s="3" t="s">
        <x:v>42</x:v>
      </x:c>
      <x:c r="Z177" s="4"/>
      <x:c r="AA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</x:row>
    <x:row r="178" s="2" customFormat="1" ht="15.75" hidden="0" customHeight="1">
      <x:c r="A178" s="1" t="s">
        <x:v>227</x:v>
      </x:c>
      <x:c r="B178" s="1" t="s">
        <x:v>27</x:v>
      </x:c>
      <x:c r="C178" s="1" t="s">
        <x:v>784</x:v>
      </x:c>
      <x:c r="D178" s="1" t="s">
        <x:v>785</x:v>
      </x:c>
      <x:c r="E178" s="1" t="n">
        <x:v>2110</x:v>
      </x:c>
      <x:c r="F178" s="1"/>
      <x:c r="G178" s="1"/>
      <x:c r="H178" s="1"/>
      <x:c r="I178" s="1"/>
      <x:c r="J178" s="12" t="s">
        <x:v>230</x:v>
      </x:c>
      <x:c r="K178" s="1" t="s">
        <x:v>786</x:v>
      </x:c>
      <x:c r="L178" s="3" t="s">
        <x:v>55</x:v>
      </x:c>
      <x:c r="M178" s="3" t="s">
        <x:v>63</x:v>
      </x:c>
      <x:c r="N178" s="3" t="s">
        <x:v>118</x:v>
      </x:c>
      <x:c r="O178" s="3"/>
      <x:c r="P178" s="3" t="s">
        <x:v>232</x:v>
      </x:c>
      <x:c r="Q178" s="3" t="s">
        <x:v>66</x:v>
      </x:c>
      <x:c r="R178" s="3" t="s">
        <x:v>67</x:v>
      </x:c>
      <x:c r="S178" s="3" t="s">
        <x:v>68</x:v>
      </x:c>
      <x:c r="T178" s="3" t="s">
        <x:v>39</x:v>
      </x:c>
      <x:c r="U178" s="3" t="s">
        <x:v>40</x:v>
      </x:c>
      <x:c r="V178" s="3" t="s">
        <x:v>787</x:v>
      </x:c>
      <x:c r="W178" s="3" t="n">
        <x:v>90</x:v>
      </x:c>
      <x:c r="X178" s="3" t="n">
        <x:f aca="0">IF(ISNUMBER(W178),W178*3.412142,"")</x:f>
        <x:v>307.09278</x:v>
      </x:c>
      <x:c r="Y178" s="3" t="s">
        <x:v>42</x:v>
      </x:c>
      <x:c r="Z178" s="4"/>
      <x:c r="AA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</x:row>
    <x:row r="179" s="2" customFormat="1" ht="15.75" hidden="0" customHeight="1">
      <x:c r="A179" s="1" t="s">
        <x:v>227</x:v>
      </x:c>
      <x:c r="B179" s="1" t="s">
        <x:v>27</x:v>
      </x:c>
      <x:c r="C179" s="1" t="s">
        <x:v>788</x:v>
      </x:c>
      <x:c r="D179" s="1" t="s">
        <x:v>789</x:v>
      </x:c>
      <x:c r="E179" s="1" t="n">
        <x:v>2300</x:v>
      </x:c>
      <x:c r="F179" s="1"/>
      <x:c r="G179" s="1"/>
      <x:c r="H179" s="1"/>
      <x:c r="I179" s="1"/>
      <x:c r="J179" s="12" t="s">
        <x:v>230</x:v>
      </x:c>
      <x:c r="K179" s="1" t="s">
        <x:v>790</x:v>
      </x:c>
      <x:c r="L179" s="3" t="s">
        <x:v>55</x:v>
      </x:c>
      <x:c r="M179" s="3" t="s">
        <x:v>63</x:v>
      </x:c>
      <x:c r="N179" s="3" t="s">
        <x:v>118</x:v>
      </x:c>
      <x:c r="O179" s="3"/>
      <x:c r="P179" s="3" t="s">
        <x:v>232</x:v>
      </x:c>
      <x:c r="Q179" s="3" t="s">
        <x:v>66</x:v>
      </x:c>
      <x:c r="R179" s="3" t="s">
        <x:v>67</x:v>
      </x:c>
      <x:c r="S179" s="3" t="s">
        <x:v>68</x:v>
      </x:c>
      <x:c r="T179" s="3" t="s">
        <x:v>39</x:v>
      </x:c>
      <x:c r="U179" s="3" t="s">
        <x:v>40</x:v>
      </x:c>
      <x:c r="V179" s="3" t="s">
        <x:v>787</x:v>
      </x:c>
      <x:c r="W179" s="3" t="n">
        <x:v>90</x:v>
      </x:c>
      <x:c r="X179" s="3" t="n">
        <x:f aca="0">IF(ISNUMBER(W179),W179*3.412142,"")</x:f>
        <x:v>307.09278</x:v>
      </x:c>
      <x:c r="Y179" s="3" t="s">
        <x:v>42</x:v>
      </x:c>
      <x:c r="Z179" s="4" t="s">
        <x:v>791</x:v>
      </x:c>
      <x:c r="AA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</x:row>
    <x:row r="180" s="2" customFormat="1" ht="15.75" hidden="0" customHeight="1">
      <x:c r="A180" s="1" t="s">
        <x:v>227</x:v>
      </x:c>
      <x:c r="B180" s="1" t="s">
        <x:v>27</x:v>
      </x:c>
      <x:c r="C180" s="1" t="s">
        <x:v>792</x:v>
      </x:c>
      <x:c r="D180" s="1" t="s">
        <x:v>793</x:v>
      </x:c>
      <x:c r="E180" s="1" t="n">
        <x:v>2420</x:v>
      </x:c>
      <x:c r="F180" s="1"/>
      <x:c r="G180" s="1"/>
      <x:c r="H180" s="1"/>
      <x:c r="I180" s="1"/>
      <x:c r="J180" s="12" t="s">
        <x:v>230</x:v>
      </x:c>
      <x:c r="K180" s="1" t="s">
        <x:v>794</x:v>
      </x:c>
      <x:c r="L180" s="3" t="s">
        <x:v>55</x:v>
      </x:c>
      <x:c r="M180" s="3" t="s">
        <x:v>63</x:v>
      </x:c>
      <x:c r="N180" s="3" t="s">
        <x:v>118</x:v>
      </x:c>
      <x:c r="O180" s="3"/>
      <x:c r="P180" s="3" t="s">
        <x:v>232</x:v>
      </x:c>
      <x:c r="Q180" s="3" t="s">
        <x:v>66</x:v>
      </x:c>
      <x:c r="R180" s="3" t="s">
        <x:v>67</x:v>
      </x:c>
      <x:c r="S180" s="3" t="s">
        <x:v>68</x:v>
      </x:c>
      <x:c r="T180" s="3" t="s">
        <x:v>39</x:v>
      </x:c>
      <x:c r="U180" s="3" t="s">
        <x:v>40</x:v>
      </x:c>
      <x:c r="V180" s="3" t="s">
        <x:v>795</x:v>
      </x:c>
      <x:c r="W180" s="3" t="n">
        <x:v>120</x:v>
      </x:c>
      <x:c r="X180" s="3" t="n">
        <x:f aca="0">IF(ISNUMBER(W180),W180*3.412142,"")</x:f>
        <x:v>409.45703999999995</x:v>
      </x:c>
      <x:c r="Y180" s="3" t="s">
        <x:v>42</x:v>
      </x:c>
      <x:c r="Z180" s="4"/>
      <x:c r="AA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</x:row>
    <x:row r="181" s="2" customFormat="1" ht="15.75" hidden="0" customHeight="1">
      <x:c r="A181" s="1" t="s">
        <x:v>227</x:v>
      </x:c>
      <x:c r="B181" s="1" t="s">
        <x:v>27</x:v>
      </x:c>
      <x:c r="C181" s="1" t="s">
        <x:v>796</x:v>
      </x:c>
      <x:c r="D181" s="1" t="s">
        <x:v>797</x:v>
      </x:c>
      <x:c r="E181" s="1" t="n">
        <x:v>910</x:v>
      </x:c>
      <x:c r="F181" s="1"/>
      <x:c r="G181" s="1"/>
      <x:c r="H181" s="1"/>
      <x:c r="I181" s="1"/>
      <x:c r="J181" s="12" t="s">
        <x:v>230</x:v>
      </x:c>
      <x:c r="K181" s="1" t="s">
        <x:v>798</x:v>
      </x:c>
      <x:c r="L181" s="3" t="s">
        <x:v>55</x:v>
      </x:c>
      <x:c r="M181" s="3" t="s">
        <x:v>63</x:v>
      </x:c>
      <x:c r="N181" s="3" t="s">
        <x:v>118</x:v>
      </x:c>
      <x:c r="O181" s="3"/>
      <x:c r="P181" s="3" t="s">
        <x:v>232</x:v>
      </x:c>
      <x:c r="Q181" s="3" t="s">
        <x:v>66</x:v>
      </x:c>
      <x:c r="R181" s="3" t="s">
        <x:v>67</x:v>
      </x:c>
      <x:c r="S181" s="3" t="s">
        <x:v>68</x:v>
      </x:c>
      <x:c r="T181" s="3" t="s">
        <x:v>39</x:v>
      </x:c>
      <x:c r="U181" s="3" t="s">
        <x:v>40</x:v>
      </x:c>
      <x:c r="V181" s="3" t="s">
        <x:v>799</x:v>
      </x:c>
      <x:c r="W181" s="3" t="n">
        <x:v>180</x:v>
      </x:c>
      <x:c r="X181" s="3" t="n">
        <x:f aca="0">IF(ISNUMBER(W181),W181*3.412142,"")</x:f>
        <x:v>614.18556</x:v>
      </x:c>
      <x:c r="Y181" s="3" t="s">
        <x:v>42</x:v>
      </x:c>
      <x:c r="Z181" s="4"/>
      <x:c r="AA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</x:row>
    <x:row r="182" s="2" customFormat="1" ht="15.75" hidden="0" customHeight="1">
      <x:c r="A182" s="1" t="s">
        <x:v>227</x:v>
      </x:c>
      <x:c r="B182" s="1" t="s">
        <x:v>27</x:v>
      </x:c>
      <x:c r="C182" s="1" t="s">
        <x:v>800</x:v>
      </x:c>
      <x:c r="D182" s="1" t="s">
        <x:v>801</x:v>
      </x:c>
      <x:c r="E182" s="1" t="n">
        <x:v>1260</x:v>
      </x:c>
      <x:c r="F182" s="1"/>
      <x:c r="G182" s="1"/>
      <x:c r="H182" s="1"/>
      <x:c r="I182" s="1"/>
      <x:c r="J182" s="12" t="s">
        <x:v>230</x:v>
      </x:c>
      <x:c r="K182" s="1" t="s">
        <x:v>802</x:v>
      </x:c>
      <x:c r="L182" s="3" t="s">
        <x:v>55</x:v>
      </x:c>
      <x:c r="M182" s="3" t="s">
        <x:v>63</x:v>
      </x:c>
      <x:c r="N182" s="3" t="s">
        <x:v>118</x:v>
      </x:c>
      <x:c r="O182" s="3"/>
      <x:c r="P182" s="3" t="s">
        <x:v>232</x:v>
      </x:c>
      <x:c r="Q182" s="3" t="s">
        <x:v>66</x:v>
      </x:c>
      <x:c r="R182" s="3" t="s">
        <x:v>67</x:v>
      </x:c>
      <x:c r="S182" s="3" t="s">
        <x:v>68</x:v>
      </x:c>
      <x:c r="T182" s="3" t="s">
        <x:v>39</x:v>
      </x:c>
      <x:c r="U182" s="3" t="s">
        <x:v>40</x:v>
      </x:c>
      <x:c r="V182" s="3" t="s">
        <x:v>799</x:v>
      </x:c>
      <x:c r="W182" s="3" t="n">
        <x:v>180</x:v>
      </x:c>
      <x:c r="X182" s="3" t="n">
        <x:f aca="0">IF(ISNUMBER(W182),W182*3.412142,"")</x:f>
        <x:v>614.18556</x:v>
      </x:c>
      <x:c r="Y182" s="3" t="s">
        <x:v>42</x:v>
      </x:c>
      <x:c r="Z182" s="4"/>
      <x:c r="AA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</x:row>
    <x:row r="183" s="2" customFormat="1" ht="15.75" hidden="0" customHeight="1">
      <x:c r="A183" s="1" t="s">
        <x:v>227</x:v>
      </x:c>
      <x:c r="B183" s="1" t="s">
        <x:v>27</x:v>
      </x:c>
      <x:c r="C183" s="1" t="s">
        <x:v>803</x:v>
      </x:c>
      <x:c r="D183" s="1" t="s">
        <x:v>804</x:v>
      </x:c>
      <x:c r="E183" s="1" t="n">
        <x:v>490</x:v>
      </x:c>
      <x:c r="F183" s="1"/>
      <x:c r="G183" s="1"/>
      <x:c r="H183" s="1"/>
      <x:c r="I183" s="1"/>
      <x:c r="J183" s="12" t="s">
        <x:v>230</x:v>
      </x:c>
      <x:c r="K183" s="1" t="s">
        <x:v>805</x:v>
      </x:c>
      <x:c r="L183" s="3" t="s">
        <x:v>46</x:v>
      </x:c>
      <x:c r="M183" s="3" t="s">
        <x:v>56</x:v>
      </x:c>
      <x:c r="N183" s="3" t="s">
        <x:v>48</x:v>
      </x:c>
      <x:c r="O183" s="3"/>
      <x:c r="P183" s="3" t="s">
        <x:v>49</x:v>
      </x:c>
      <x:c r="Q183" s="3" t="s">
        <x:v>36</x:v>
      </x:c>
      <x:c r="R183" s="3" t="s">
        <x:v>37</x:v>
      </x:c>
      <x:c r="S183" s="3" t="s">
        <x:v>38</x:v>
      </x:c>
      <x:c r="T183" s="3" t="s">
        <x:v>39</x:v>
      </x:c>
      <x:c r="U183" s="3" t="s">
        <x:v>133</x:v>
      </x:c>
      <x:c r="V183" s="3" t="s">
        <x:v>806</x:v>
      </x:c>
      <x:c r="W183" s="3" t="n">
        <x:v>36</x:v>
      </x:c>
      <x:c r="X183" s="3" t="n">
        <x:f aca="0">IF(ISNUMBER(W183),W183*3.412142,"")</x:f>
        <x:v>122.83711199999999</x:v>
      </x:c>
      <x:c r="Y183" s="3" t="s">
        <x:v>135</x:v>
      </x:c>
      <x:c r="Z183" s="4"/>
      <x:c r="AA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</x:row>
    <x:row r="184" s="2" customFormat="1" ht="15.75" hidden="0" customHeight="1">
      <x:c r="A184" s="1" t="s">
        <x:v>227</x:v>
      </x:c>
      <x:c r="B184" s="1" t="s">
        <x:v>27</x:v>
      </x:c>
      <x:c r="C184" s="1" t="s">
        <x:v>807</x:v>
      </x:c>
      <x:c r="D184" s="1" t="s">
        <x:v>808</x:v>
      </x:c>
      <x:c r="E184" s="1" t="n">
        <x:v>620</x:v>
      </x:c>
      <x:c r="F184" s="1"/>
      <x:c r="G184" s="1"/>
      <x:c r="H184" s="1"/>
      <x:c r="I184" s="1"/>
      <x:c r="J184" s="12" t="s">
        <x:v>230</x:v>
      </x:c>
      <x:c r="K184" s="1" t="s">
        <x:v>809</x:v>
      </x:c>
      <x:c r="L184" s="3" t="s">
        <x:v>46</x:v>
      </x:c>
      <x:c r="M184" s="3" t="s">
        <x:v>56</x:v>
      </x:c>
      <x:c r="N184" s="3" t="s">
        <x:v>48</x:v>
      </x:c>
      <x:c r="O184" s="3"/>
      <x:c r="P184" s="3" t="s">
        <x:v>35</x:v>
      </x:c>
      <x:c r="Q184" s="3" t="s">
        <x:v>36</x:v>
      </x:c>
      <x:c r="R184" s="3" t="s">
        <x:v>37</x:v>
      </x:c>
      <x:c r="S184" s="3" t="s">
        <x:v>38</x:v>
      </x:c>
      <x:c r="T184" s="3" t="s">
        <x:v>39</x:v>
      </x:c>
      <x:c r="U184" s="3" t="s">
        <x:v>40</x:v>
      </x:c>
      <x:c r="V184" s="3" t="s">
        <x:v>795</x:v>
      </x:c>
      <x:c r="W184" s="3" t="n">
        <x:v>120</x:v>
      </x:c>
      <x:c r="X184" s="3" t="n">
        <x:f aca="0">IF(ISNUMBER(W184),W184*3.412142,"")</x:f>
        <x:v>409.45703999999995</x:v>
      </x:c>
      <x:c r="Y184" s="3" t="s">
        <x:v>42</x:v>
      </x:c>
      <x:c r="Z184" s="4" t="s">
        <x:v>810</x:v>
      </x:c>
      <x:c r="AA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</x:row>
    <x:row r="185" s="2" customFormat="1" ht="15.75" hidden="0" customHeight="1">
      <x:c r="A185" s="1" t="s">
        <x:v>227</x:v>
      </x:c>
      <x:c r="B185" s="1" t="s">
        <x:v>27</x:v>
      </x:c>
      <x:c r="C185" s="1" t="s">
        <x:v>811</x:v>
      </x:c>
      <x:c r="D185" s="1" t="s">
        <x:v>812</x:v>
      </x:c>
      <x:c r="E185" s="1" t="n">
        <x:v>1450</x:v>
      </x:c>
      <x:c r="F185" s="1"/>
      <x:c r="G185" s="1"/>
      <x:c r="H185" s="1"/>
      <x:c r="I185" s="1"/>
      <x:c r="J185" s="12" t="s">
        <x:v>230</x:v>
      </x:c>
      <x:c r="K185" s="1" t="s">
        <x:v>813</x:v>
      </x:c>
      <x:c r="L185" s="3" t="s">
        <x:v>55</x:v>
      </x:c>
      <x:c r="M185" s="3" t="s">
        <x:v>63</x:v>
      </x:c>
      <x:c r="N185" s="3" t="s">
        <x:v>118</x:v>
      </x:c>
      <x:c r="O185" s="3"/>
      <x:c r="P185" s="3" t="s">
        <x:v>232</x:v>
      </x:c>
      <x:c r="Q185" s="3" t="s">
        <x:v>66</x:v>
      </x:c>
      <x:c r="R185" s="3" t="s">
        <x:v>67</x:v>
      </x:c>
      <x:c r="S185" s="3" t="s">
        <x:v>68</x:v>
      </x:c>
      <x:c r="T185" s="3" t="s">
        <x:v>39</x:v>
      </x:c>
      <x:c r="U185" s="3" t="s">
        <x:v>40</x:v>
      </x:c>
      <x:c r="V185" s="3" t="s">
        <x:v>799</x:v>
      </x:c>
      <x:c r="W185" s="3" t="n">
        <x:v>180</x:v>
      </x:c>
      <x:c r="X185" s="3" t="n">
        <x:f aca="0">IF(ISNUMBER(W185),W185*3.412142,"")</x:f>
        <x:v>614.18556</x:v>
      </x:c>
      <x:c r="Y185" s="3" t="s">
        <x:v>42</x:v>
      </x:c>
      <x:c r="Z185" s="4"/>
      <x:c r="AA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</x:row>
    <x:row r="186" s="2" customFormat="1" ht="15.75" hidden="0" customHeight="1">
      <x:c r="A186" s="1" t="s">
        <x:v>227</x:v>
      </x:c>
      <x:c r="B186" s="1" t="s">
        <x:v>27</x:v>
      </x:c>
      <x:c r="C186" s="1" t="s">
        <x:v>814</x:v>
      </x:c>
      <x:c r="D186" s="1" t="s">
        <x:v>815</x:v>
      </x:c>
      <x:c r="E186" s="1" t="n">
        <x:v>1080</x:v>
      </x:c>
      <x:c r="F186" s="1"/>
      <x:c r="G186" s="1"/>
      <x:c r="H186" s="1"/>
      <x:c r="I186" s="1"/>
      <x:c r="J186" s="12" t="s">
        <x:v>230</x:v>
      </x:c>
      <x:c r="K186" s="1" t="s">
        <x:v>816</x:v>
      </x:c>
      <x:c r="L186" s="3" t="s">
        <x:v>55</x:v>
      </x:c>
      <x:c r="M186" s="3" t="s">
        <x:v>63</x:v>
      </x:c>
      <x:c r="N186" s="3" t="s">
        <x:v>118</x:v>
      </x:c>
      <x:c r="O186" s="3"/>
      <x:c r="P186" s="3" t="s">
        <x:v>232</x:v>
      </x:c>
      <x:c r="Q186" s="3" t="s">
        <x:v>66</x:v>
      </x:c>
      <x:c r="R186" s="3" t="s">
        <x:v>67</x:v>
      </x:c>
      <x:c r="S186" s="3" t="s">
        <x:v>68</x:v>
      </x:c>
      <x:c r="T186" s="3" t="s">
        <x:v>39</x:v>
      </x:c>
      <x:c r="U186" s="3" t="s">
        <x:v>40</x:v>
      </x:c>
      <x:c r="V186" s="3" t="s">
        <x:v>773</x:v>
      </x:c>
      <x:c r="W186" s="3" t="n">
        <x:v>300</x:v>
      </x:c>
      <x:c r="X186" s="3" t="n">
        <x:f aca="0">IF(ISNUMBER(W186),W186*3.412142,"")</x:f>
        <x:v>1023.6425999999999</x:v>
      </x:c>
      <x:c r="Y186" s="3" t="s">
        <x:v>42</x:v>
      </x:c>
      <x:c r="Z186" s="4"/>
      <x:c r="AA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</x:row>
    <x:row r="187" s="2" customFormat="1" ht="15.75" hidden="0" customHeight="1">
      <x:c r="A187" s="1" t="s">
        <x:v>227</x:v>
      </x:c>
      <x:c r="B187" s="1" t="s">
        <x:v>27</x:v>
      </x:c>
      <x:c r="C187" s="1" t="s">
        <x:v>817</x:v>
      </x:c>
      <x:c r="D187" s="1" t="s">
        <x:v>818</x:v>
      </x:c>
      <x:c r="E187" s="1" t="n">
        <x:v>740</x:v>
      </x:c>
      <x:c r="F187" s="1"/>
      <x:c r="G187" s="1"/>
      <x:c r="H187" s="1"/>
      <x:c r="I187" s="1"/>
      <x:c r="J187" s="12" t="s">
        <x:v>230</x:v>
      </x:c>
      <x:c r="K187" s="1" t="s">
        <x:v>819</x:v>
      </x:c>
      <x:c r="L187" s="3" t="s">
        <x:v>55</x:v>
      </x:c>
      <x:c r="M187" s="3" t="s">
        <x:v>63</x:v>
      </x:c>
      <x:c r="N187" s="3" t="s">
        <x:v>118</x:v>
      </x:c>
      <x:c r="O187" s="3"/>
      <x:c r="P187" s="3" t="s">
        <x:v>232</x:v>
      </x:c>
      <x:c r="Q187" s="3" t="s">
        <x:v>66</x:v>
      </x:c>
      <x:c r="R187" s="3" t="s">
        <x:v>67</x:v>
      </x:c>
      <x:c r="S187" s="3" t="s">
        <x:v>68</x:v>
      </x:c>
      <x:c r="T187" s="3" t="s">
        <x:v>39</x:v>
      </x:c>
      <x:c r="U187" s="3" t="s">
        <x:v>40</x:v>
      </x:c>
      <x:c r="V187" s="3" t="s">
        <x:v>799</x:v>
      </x:c>
      <x:c r="W187" s="3" t="n">
        <x:v>180</x:v>
      </x:c>
      <x:c r="X187" s="3" t="n">
        <x:f aca="0">IF(ISNUMBER(W187),W187*3.412142,"")</x:f>
        <x:v>614.18556</x:v>
      </x:c>
      <x:c r="Y187" s="3" t="s">
        <x:v>42</x:v>
      </x:c>
      <x:c r="Z187" s="4"/>
      <x:c r="AA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</x:row>
    <x:row r="188" s="2" customFormat="1" ht="15.75" hidden="0" customHeight="1">
      <x:c r="A188" s="1" t="s">
        <x:v>227</x:v>
      </x:c>
      <x:c r="B188" s="1" t="s">
        <x:v>27</x:v>
      </x:c>
      <x:c r="C188" s="1" t="s">
        <x:v>820</x:v>
      </x:c>
      <x:c r="D188" s="1" t="s">
        <x:v>821</x:v>
      </x:c>
      <x:c r="E188" s="1" t="n">
        <x:v>870</x:v>
      </x:c>
      <x:c r="F188" s="1"/>
      <x:c r="G188" s="1"/>
      <x:c r="H188" s="1"/>
      <x:c r="I188" s="1"/>
      <x:c r="J188" s="12" t="s">
        <x:v>230</x:v>
      </x:c>
      <x:c r="K188" s="1" t="s">
        <x:v>822</x:v>
      </x:c>
      <x:c r="L188" s="3" t="s">
        <x:v>55</x:v>
      </x:c>
      <x:c r="M188" s="3" t="s">
        <x:v>63</x:v>
      </x:c>
      <x:c r="N188" s="3" t="s">
        <x:v>118</x:v>
      </x:c>
      <x:c r="O188" s="3"/>
      <x:c r="P188" s="3" t="s">
        <x:v>232</x:v>
      </x:c>
      <x:c r="Q188" s="3" t="s">
        <x:v>66</x:v>
      </x:c>
      <x:c r="R188" s="3" t="s">
        <x:v>67</x:v>
      </x:c>
      <x:c r="S188" s="3" t="s">
        <x:v>68</x:v>
      </x:c>
      <x:c r="T188" s="3" t="s">
        <x:v>39</x:v>
      </x:c>
      <x:c r="U188" s="3" t="s">
        <x:v>40</x:v>
      </x:c>
      <x:c r="V188" s="3" t="s">
        <x:v>773</x:v>
      </x:c>
      <x:c r="W188" s="3" t="n">
        <x:v>300</x:v>
      </x:c>
      <x:c r="X188" s="3" t="n">
        <x:f aca="0">IF(ISNUMBER(W188),W188*3.412142,"")</x:f>
        <x:v>1023.6425999999999</x:v>
      </x:c>
      <x:c r="Y188" s="3" t="s">
        <x:v>42</x:v>
      </x:c>
      <x:c r="Z188" s="4" t="s">
        <x:v>823</x:v>
      </x:c>
      <x:c r="AA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</x:row>
    <x:row r="189" s="2" customFormat="1" ht="15.75" hidden="0" customHeight="1">
      <x:c r="A189" s="1" t="s">
        <x:v>227</x:v>
      </x:c>
      <x:c r="B189" s="1" t="s">
        <x:v>27</x:v>
      </x:c>
      <x:c r="C189" s="1" t="s">
        <x:v>824</x:v>
      </x:c>
      <x:c r="D189" s="1" t="s">
        <x:v>825</x:v>
      </x:c>
      <x:c r="E189" s="1" t="n">
        <x:v>2060</x:v>
      </x:c>
      <x:c r="F189" s="1"/>
      <x:c r="G189" s="1"/>
      <x:c r="H189" s="1"/>
      <x:c r="I189" s="1"/>
      <x:c r="J189" s="12" t="s">
        <x:v>230</x:v>
      </x:c>
      <x:c r="K189" s="1" t="s">
        <x:v>772</x:v>
      </x:c>
      <x:c r="L189" s="3" t="s">
        <x:v>62</x:v>
      </x:c>
      <x:c r="M189" s="3" t="s">
        <x:v>63</x:v>
      </x:c>
      <x:c r="N189" s="3" t="s">
        <x:v>118</x:v>
      </x:c>
      <x:c r="O189" s="3"/>
      <x:c r="P189" s="3" t="s">
        <x:v>826</x:v>
      </x:c>
      <x:c r="Q189" s="3" t="s">
        <x:v>66</x:v>
      </x:c>
      <x:c r="R189" s="3" t="s">
        <x:v>67</x:v>
      </x:c>
      <x:c r="S189" s="3" t="s">
        <x:v>68</x:v>
      </x:c>
      <x:c r="T189" s="3" t="s">
        <x:v>69</x:v>
      </x:c>
      <x:c r="U189" s="3" t="s">
        <x:v>40</x:v>
      </x:c>
      <x:c r="V189" s="3" t="s">
        <x:v>773</x:v>
      </x:c>
      <x:c r="W189" s="3" t="n">
        <x:v>300</x:v>
      </x:c>
      <x:c r="X189" s="3" t="n">
        <x:f aca="0">IF(ISNUMBER(W189),W189*3.412142,"")</x:f>
        <x:v>1023.6425999999999</x:v>
      </x:c>
      <x:c r="Y189" s="3" t="s">
        <x:v>42</x:v>
      </x:c>
      <x:c r="Z189" s="4"/>
      <x:c r="AA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</x:row>
    <x:row r="190" s="2" customFormat="1" ht="15.75" hidden="0" customHeight="1">
      <x:c r="A190" s="1" t="s">
        <x:v>227</x:v>
      </x:c>
      <x:c r="B190" s="1" t="s">
        <x:v>27</x:v>
      </x:c>
      <x:c r="C190" s="1" t="s">
        <x:v>827</x:v>
      </x:c>
      <x:c r="D190" s="1" t="s">
        <x:v>828</x:v>
      </x:c>
      <x:c r="E190" s="1" t="n">
        <x:v>1580</x:v>
      </x:c>
      <x:c r="F190" s="1"/>
      <x:c r="G190" s="1"/>
      <x:c r="H190" s="1"/>
      <x:c r="I190" s="1"/>
      <x:c r="J190" s="12" t="s">
        <x:v>230</x:v>
      </x:c>
      <x:c r="K190" s="1" t="s">
        <x:v>829</x:v>
      </x:c>
      <x:c r="L190" s="3" t="s">
        <x:v>62</x:v>
      </x:c>
      <x:c r="M190" s="3" t="s">
        <x:v>63</x:v>
      </x:c>
      <x:c r="N190" s="3" t="s">
        <x:v>118</x:v>
      </x:c>
      <x:c r="O190" s="3"/>
      <x:c r="P190" s="3" t="s">
        <x:v>826</x:v>
      </x:c>
      <x:c r="Q190" s="3" t="s">
        <x:v>66</x:v>
      </x:c>
      <x:c r="R190" s="3" t="s">
        <x:v>67</x:v>
      </x:c>
      <x:c r="S190" s="3" t="s">
        <x:v>68</x:v>
      </x:c>
      <x:c r="T190" s="3" t="s">
        <x:v>69</x:v>
      </x:c>
      <x:c r="U190" s="3" t="s">
        <x:v>40</x:v>
      </x:c>
      <x:c r="V190" s="3" t="s">
        <x:v>780</x:v>
      </x:c>
      <x:c r="W190" s="3" t="n">
        <x:v>500</x:v>
      </x:c>
      <x:c r="X190" s="3" t="n">
        <x:f aca="0">IF(ISNUMBER(W190),W190*3.412142,"")</x:f>
        <x:v>1706.071</x:v>
      </x:c>
      <x:c r="Y190" s="3" t="s">
        <x:v>42</x:v>
      </x:c>
      <x:c r="Z190" s="4"/>
      <x:c r="AA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</x:row>
    <x:row r="191" s="2" customFormat="1" ht="15.75" hidden="0" customHeight="1">
      <x:c r="A191" s="1" t="s">
        <x:v>227</x:v>
      </x:c>
      <x:c r="B191" s="1" t="s">
        <x:v>27</x:v>
      </x:c>
      <x:c r="C191" s="1" t="s">
        <x:v>830</x:v>
      </x:c>
      <x:c r="D191" s="1" t="s">
        <x:v>246</x:v>
      </x:c>
      <x:c r="E191" s="1" t="n">
        <x:v>3990</x:v>
      </x:c>
      <x:c r="F191" s="1"/>
      <x:c r="G191" s="1"/>
      <x:c r="H191" s="1"/>
      <x:c r="I191" s="1"/>
      <x:c r="J191" s="12" t="s">
        <x:v>230</x:v>
      </x:c>
      <x:c r="K191" s="1" t="s">
        <x:v>831</x:v>
      </x:c>
      <x:c r="L191" s="3" t="s">
        <x:v>55</x:v>
      </x:c>
      <x:c r="M191" s="3" t="s">
        <x:v>63</x:v>
      </x:c>
      <x:c r="N191" s="3" t="s">
        <x:v>118</x:v>
      </x:c>
      <x:c r="O191" s="3"/>
      <x:c r="P191" s="3" t="s">
        <x:v>232</x:v>
      </x:c>
      <x:c r="Q191" s="3" t="s">
        <x:v>66</x:v>
      </x:c>
      <x:c r="R191" s="3" t="s">
        <x:v>67</x:v>
      </x:c>
      <x:c r="S191" s="3" t="s">
        <x:v>68</x:v>
      </x:c>
      <x:c r="T191" s="3" t="s">
        <x:v>39</x:v>
      </x:c>
      <x:c r="U191" s="3" t="s">
        <x:v>40</x:v>
      </x:c>
      <x:c r="V191" s="3" t="s">
        <x:v>773</x:v>
      </x:c>
      <x:c r="W191" s="3" t="n">
        <x:v>300</x:v>
      </x:c>
      <x:c r="X191" s="3" t="n">
        <x:f aca="0">IF(ISNUMBER(W191),W191*3.412142,"")</x:f>
        <x:v>1023.6425999999999</x:v>
      </x:c>
      <x:c r="Y191" s="3" t="s">
        <x:v>42</x:v>
      </x:c>
      <x:c r="Z191" s="4"/>
      <x:c r="AA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</x:row>
    <x:row r="192" s="2" customFormat="1" ht="15.75" hidden="0" customHeight="1">
      <x:c r="A192" s="1" t="s">
        <x:v>227</x:v>
      </x:c>
      <x:c r="B192" s="1" t="s">
        <x:v>27</x:v>
      </x:c>
      <x:c r="C192" s="1" t="s">
        <x:v>832</x:v>
      </x:c>
      <x:c r="D192" s="1" t="s">
        <x:v>242</x:v>
      </x:c>
      <x:c r="E192" s="1" t="n">
        <x:v>6390</x:v>
      </x:c>
      <x:c r="F192" s="1"/>
      <x:c r="G192" s="1"/>
      <x:c r="H192" s="1"/>
      <x:c r="I192" s="1"/>
      <x:c r="J192" s="12" t="s">
        <x:v>230</x:v>
      </x:c>
      <x:c r="K192" s="1" t="s">
        <x:v>833</x:v>
      </x:c>
      <x:c r="L192" s="3" t="s">
        <x:v>55</x:v>
      </x:c>
      <x:c r="M192" s="3" t="s">
        <x:v>63</x:v>
      </x:c>
      <x:c r="N192" s="3" t="s">
        <x:v>118</x:v>
      </x:c>
      <x:c r="O192" s="3"/>
      <x:c r="P192" s="3" t="s">
        <x:v>232</x:v>
      </x:c>
      <x:c r="Q192" s="3" t="s">
        <x:v>66</x:v>
      </x:c>
      <x:c r="R192" s="3" t="s">
        <x:v>67</x:v>
      </x:c>
      <x:c r="S192" s="3" t="s">
        <x:v>68</x:v>
      </x:c>
      <x:c r="T192" s="3" t="s">
        <x:v>39</x:v>
      </x:c>
      <x:c r="U192" s="3" t="s">
        <x:v>40</x:v>
      </x:c>
      <x:c r="V192" s="3" t="s">
        <x:v>773</x:v>
      </x:c>
      <x:c r="W192" s="3" t="n">
        <x:v>300</x:v>
      </x:c>
      <x:c r="X192" s="3" t="n">
        <x:f aca="0">IF(ISNUMBER(W192),W192*3.412142,"")</x:f>
        <x:v>1023.6425999999999</x:v>
      </x:c>
      <x:c r="Y192" s="3" t="s">
        <x:v>42</x:v>
      </x:c>
      <x:c r="Z192" s="4"/>
      <x:c r="AA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</x:row>
    <x:row r="193" s="2" customFormat="1" ht="15.75" hidden="0" customHeight="1">
      <x:c r="A193" s="1" t="s">
        <x:v>227</x:v>
      </x:c>
      <x:c r="B193" s="1" t="s">
        <x:v>27</x:v>
      </x:c>
      <x:c r="C193" s="1" t="s">
        <x:v>834</x:v>
      </x:c>
      <x:c r="D193" s="1" t="s">
        <x:v>835</x:v>
      </x:c>
      <x:c r="E193" s="1" t="n">
        <x:v>4990</x:v>
      </x:c>
      <x:c r="F193" s="1"/>
      <x:c r="G193" s="1"/>
      <x:c r="H193" s="1"/>
      <x:c r="I193" s="1"/>
      <x:c r="J193" s="12" t="s">
        <x:v>230</x:v>
      </x:c>
      <x:c r="K193" s="1" t="s">
        <x:v>836</x:v>
      </x:c>
      <x:c r="L193" s="3" t="s">
        <x:v>55</x:v>
      </x:c>
      <x:c r="M193" s="3" t="s">
        <x:v>63</x:v>
      </x:c>
      <x:c r="N193" s="3" t="s">
        <x:v>118</x:v>
      </x:c>
      <x:c r="O193" s="3"/>
      <x:c r="P193" s="3" t="s">
        <x:v>232</x:v>
      </x:c>
      <x:c r="Q193" s="3" t="s">
        <x:v>66</x:v>
      </x:c>
      <x:c r="R193" s="3" t="s">
        <x:v>67</x:v>
      </x:c>
      <x:c r="S193" s="3" t="s">
        <x:v>68</x:v>
      </x:c>
      <x:c r="T193" s="3" t="s">
        <x:v>39</x:v>
      </x:c>
      <x:c r="U193" s="3" t="s">
        <x:v>40</x:v>
      </x:c>
      <x:c r="V193" s="3" t="s">
        <x:v>780</x:v>
      </x:c>
      <x:c r="W193" s="3" t="n">
        <x:v>500</x:v>
      </x:c>
      <x:c r="X193" s="3" t="n">
        <x:f aca="0">IF(ISNUMBER(W193),W193*3.412142,"")</x:f>
        <x:v>1706.071</x:v>
      </x:c>
      <x:c r="Y193" s="3" t="s">
        <x:v>42</x:v>
      </x:c>
      <x:c r="Z193" s="4"/>
      <x:c r="AA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</x:row>
    <x:row r="194" s="2" customFormat="1" ht="15.75" hidden="0" customHeight="1">
      <x:c r="A194" s="1" t="s">
        <x:v>227</x:v>
      </x:c>
      <x:c r="B194" s="1" t="s">
        <x:v>27</x:v>
      </x:c>
      <x:c r="C194" s="1" t="s">
        <x:v>837</x:v>
      </x:c>
      <x:c r="D194" s="1" t="s">
        <x:v>838</x:v>
      </x:c>
      <x:c r="E194" s="1" t="n">
        <x:v>3040</x:v>
      </x:c>
      <x:c r="F194" s="1"/>
      <x:c r="G194" s="1"/>
      <x:c r="H194" s="1"/>
      <x:c r="I194" s="1"/>
      <x:c r="J194" s="12" t="s">
        <x:v>230</x:v>
      </x:c>
      <x:c r="K194" s="1" t="s">
        <x:v>839</x:v>
      </x:c>
      <x:c r="L194" s="3" t="s">
        <x:v>55</x:v>
      </x:c>
      <x:c r="M194" s="3" t="s">
        <x:v>63</x:v>
      </x:c>
      <x:c r="N194" s="3" t="s">
        <x:v>118</x:v>
      </x:c>
      <x:c r="O194" s="3"/>
      <x:c r="P194" s="3" t="s">
        <x:v>232</x:v>
      </x:c>
      <x:c r="Q194" s="3" t="s">
        <x:v>66</x:v>
      </x:c>
      <x:c r="R194" s="3" t="s">
        <x:v>67</x:v>
      </x:c>
      <x:c r="S194" s="3" t="s">
        <x:v>68</x:v>
      </x:c>
      <x:c r="T194" s="3" t="s">
        <x:v>39</x:v>
      </x:c>
      <x:c r="U194" s="3" t="s">
        <x:v>40</x:v>
      </x:c>
      <x:c r="V194" s="3" t="s">
        <x:v>780</x:v>
      </x:c>
      <x:c r="W194" s="3" t="n">
        <x:v>500</x:v>
      </x:c>
      <x:c r="X194" s="3" t="n">
        <x:f aca="0">IF(ISNUMBER(W194),W194*3.412142,"")</x:f>
        <x:v>1706.071</x:v>
      </x:c>
      <x:c r="Y194" s="3" t="s">
        <x:v>42</x:v>
      </x:c>
      <x:c r="Z194" s="4"/>
      <x:c r="AA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</x:row>
    <x:row r="195" s="2" customFormat="1" ht="15.75" hidden="0" customHeight="1">
      <x:c r="A195" s="1" t="s">
        <x:v>227</x:v>
      </x:c>
      <x:c r="B195" s="1" t="s">
        <x:v>27</x:v>
      </x:c>
      <x:c r="C195" s="1" t="s">
        <x:v>840</x:v>
      </x:c>
      <x:c r="D195" s="1" t="s">
        <x:v>841</x:v>
      </x:c>
      <x:c r="E195" s="1" t="n">
        <x:v>2720</x:v>
      </x:c>
      <x:c r="F195" s="1"/>
      <x:c r="G195" s="1"/>
      <x:c r="H195" s="1"/>
      <x:c r="I195" s="1"/>
      <x:c r="J195" s="12" t="s">
        <x:v>230</x:v>
      </x:c>
      <x:c r="K195" s="1" t="s">
        <x:v>842</x:v>
      </x:c>
      <x:c r="L195" s="3" t="s">
        <x:v>55</x:v>
      </x:c>
      <x:c r="M195" s="3" t="s">
        <x:v>63</x:v>
      </x:c>
      <x:c r="N195" s="3" t="s">
        <x:v>118</x:v>
      </x:c>
      <x:c r="O195" s="3"/>
      <x:c r="P195" s="3" t="s">
        <x:v>232</x:v>
      </x:c>
      <x:c r="Q195" s="3" t="s">
        <x:v>66</x:v>
      </x:c>
      <x:c r="R195" s="3" t="s">
        <x:v>67</x:v>
      </x:c>
      <x:c r="S195" s="3" t="s">
        <x:v>68</x:v>
      </x:c>
      <x:c r="T195" s="3" t="s">
        <x:v>39</x:v>
      </x:c>
      <x:c r="U195" s="3" t="s">
        <x:v>40</x:v>
      </x:c>
      <x:c r="V195" s="3" t="s">
        <x:v>799</x:v>
      </x:c>
      <x:c r="W195" s="3" t="n">
        <x:v>180</x:v>
      </x:c>
      <x:c r="X195" s="3" t="n">
        <x:f aca="0">IF(ISNUMBER(W195),W195*3.412142,"")</x:f>
        <x:v>614.18556</x:v>
      </x:c>
      <x:c r="Y195" s="3" t="s">
        <x:v>42</x:v>
      </x:c>
      <x:c r="Z195" s="4"/>
      <x:c r="AA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</x:row>
    <x:row r="196" s="2" customFormat="1" ht="15.75" hidden="0" customHeight="1">
      <x:c r="A196" s="1" t="s">
        <x:v>227</x:v>
      </x:c>
      <x:c r="B196" s="1" t="s">
        <x:v>27</x:v>
      </x:c>
      <x:c r="C196" s="1" t="s">
        <x:v>843</x:v>
      </x:c>
      <x:c r="D196" s="1" t="s">
        <x:v>844</x:v>
      </x:c>
      <x:c r="E196" s="1" t="n">
        <x:v>3140</x:v>
      </x:c>
      <x:c r="F196" s="1"/>
      <x:c r="G196" s="1"/>
      <x:c r="H196" s="1"/>
      <x:c r="I196" s="1"/>
      <x:c r="J196" s="12" t="s">
        <x:v>230</x:v>
      </x:c>
      <x:c r="K196" s="1" t="s">
        <x:v>845</x:v>
      </x:c>
      <x:c r="L196" s="3" t="s">
        <x:v>55</x:v>
      </x:c>
      <x:c r="M196" s="3" t="s">
        <x:v>63</x:v>
      </x:c>
      <x:c r="N196" s="3" t="s">
        <x:v>118</x:v>
      </x:c>
      <x:c r="O196" s="3"/>
      <x:c r="P196" s="3" t="s">
        <x:v>232</x:v>
      </x:c>
      <x:c r="Q196" s="3" t="s">
        <x:v>66</x:v>
      </x:c>
      <x:c r="R196" s="3" t="s">
        <x:v>67</x:v>
      </x:c>
      <x:c r="S196" s="3" t="s">
        <x:v>68</x:v>
      </x:c>
      <x:c r="T196" s="3" t="s">
        <x:v>39</x:v>
      </x:c>
      <x:c r="U196" s="3" t="s">
        <x:v>40</x:v>
      </x:c>
      <x:c r="V196" s="3" t="s">
        <x:v>799</x:v>
      </x:c>
      <x:c r="W196" s="3" t="n">
        <x:v>180</x:v>
      </x:c>
      <x:c r="X196" s="3" t="n">
        <x:f aca="0">IF(ISNUMBER(W196),W196*3.412142,"")</x:f>
        <x:v>614.18556</x:v>
      </x:c>
      <x:c r="Y196" s="3" t="s">
        <x:v>42</x:v>
      </x:c>
      <x:c r="Z196" s="4"/>
      <x:c r="AA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</x:row>
    <x:row r="197" s="2" customFormat="1" ht="15.75" hidden="0" customHeight="1">
      <x:c r="A197" s="1" t="s">
        <x:v>227</x:v>
      </x:c>
      <x:c r="B197" s="1" t="s">
        <x:v>27</x:v>
      </x:c>
      <x:c r="C197" s="1" t="s">
        <x:v>846</x:v>
      </x:c>
      <x:c r="D197" s="1" t="s">
        <x:v>847</x:v>
      </x:c>
      <x:c r="E197" s="1" t="n">
        <x:v>3040</x:v>
      </x:c>
      <x:c r="F197" s="1"/>
      <x:c r="G197" s="1"/>
      <x:c r="H197" s="1"/>
      <x:c r="I197" s="1"/>
      <x:c r="J197" s="12" t="s">
        <x:v>230</x:v>
      </x:c>
      <x:c r="K197" s="1" t="s">
        <x:v>848</x:v>
      </x:c>
      <x:c r="L197" s="3" t="s">
        <x:v>55</x:v>
      </x:c>
      <x:c r="M197" s="3" t="s">
        <x:v>63</x:v>
      </x:c>
      <x:c r="N197" s="3" t="s">
        <x:v>118</x:v>
      </x:c>
      <x:c r="O197" s="3"/>
      <x:c r="P197" s="3" t="s">
        <x:v>232</x:v>
      </x:c>
      <x:c r="Q197" s="3" t="s">
        <x:v>66</x:v>
      </x:c>
      <x:c r="R197" s="3" t="s">
        <x:v>67</x:v>
      </x:c>
      <x:c r="S197" s="3" t="s">
        <x:v>68</x:v>
      </x:c>
      <x:c r="T197" s="3" t="s">
        <x:v>39</x:v>
      </x:c>
      <x:c r="U197" s="3" t="s">
        <x:v>40</x:v>
      </x:c>
      <x:c r="V197" s="3" t="s">
        <x:v>773</x:v>
      </x:c>
      <x:c r="W197" s="3" t="n">
        <x:v>300</x:v>
      </x:c>
      <x:c r="X197" s="3" t="n">
        <x:f aca="0">IF(ISNUMBER(W197),W197*3.412142,"")</x:f>
        <x:v>1023.6425999999999</x:v>
      </x:c>
      <x:c r="Y197" s="3" t="s">
        <x:v>42</x:v>
      </x:c>
      <x:c r="Z197" s="4"/>
      <x:c r="AA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</x:row>
    <x:row r="198" s="2" customFormat="1" ht="15.75" hidden="0" customHeight="1">
      <x:c r="A198" s="1" t="s">
        <x:v>227</x:v>
      </x:c>
      <x:c r="B198" s="1" t="s">
        <x:v>27</x:v>
      </x:c>
      <x:c r="C198" s="1" t="s">
        <x:v>849</x:v>
      </x:c>
      <x:c r="D198" s="1" t="s">
        <x:v>850</x:v>
      </x:c>
      <x:c r="E198" s="1" t="n">
        <x:v>1220</x:v>
      </x:c>
      <x:c r="F198" s="1"/>
      <x:c r="G198" s="1"/>
      <x:c r="H198" s="1"/>
      <x:c r="I198" s="1"/>
      <x:c r="J198" s="12" t="s">
        <x:v>230</x:v>
      </x:c>
      <x:c r="K198" s="1" t="s">
        <x:v>851</x:v>
      </x:c>
      <x:c r="L198" s="3" t="s">
        <x:v>55</x:v>
      </x:c>
      <x:c r="M198" s="3" t="s">
        <x:v>63</x:v>
      </x:c>
      <x:c r="N198" s="3" t="s">
        <x:v>118</x:v>
      </x:c>
      <x:c r="O198" s="3"/>
      <x:c r="P198" s="3" t="s">
        <x:v>232</x:v>
      </x:c>
      <x:c r="Q198" s="3" t="s">
        <x:v>66</x:v>
      </x:c>
      <x:c r="R198" s="3" t="s">
        <x:v>67</x:v>
      </x:c>
      <x:c r="S198" s="3" t="s">
        <x:v>68</x:v>
      </x:c>
      <x:c r="T198" s="3" t="s">
        <x:v>39</x:v>
      </x:c>
      <x:c r="U198" s="3" t="s">
        <x:v>40</x:v>
      </x:c>
      <x:c r="V198" s="3" t="s">
        <x:v>799</x:v>
      </x:c>
      <x:c r="W198" s="3" t="n">
        <x:v>180</x:v>
      </x:c>
      <x:c r="X198" s="3" t="n">
        <x:f aca="0">IF(ISNUMBER(W198),W198*3.412142,"")</x:f>
        <x:v>614.18556</x:v>
      </x:c>
      <x:c r="Y198" s="3" t="s">
        <x:v>42</x:v>
      </x:c>
      <x:c r="Z198" s="4"/>
      <x:c r="AA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</x:row>
    <x:row r="199" s="2" customFormat="1" ht="15.75" hidden="0" customHeight="1">
      <x:c r="A199" s="1" t="s">
        <x:v>852</x:v>
      </x:c>
      <x:c r="B199" s="1" t="s">
        <x:v>27</x:v>
      </x:c>
      <x:c r="C199" s="1" t="s">
        <x:v>853</x:v>
      </x:c>
      <x:c r="D199" s="1" t="s">
        <x:v>854</x:v>
      </x:c>
      <x:c r="E199" s="1" t="n">
        <x:v>1210</x:v>
      </x:c>
      <x:c r="F199" s="1"/>
      <x:c r="G199" s="1"/>
      <x:c r="H199" s="1"/>
      <x:c r="I199" s="1"/>
      <x:c r="J199" s="8" t="s">
        <x:v>139</x:v>
      </x:c>
      <x:c r="K199" s="1" t="s">
        <x:v>855</x:v>
      </x:c>
      <x:c r="L199" s="3" t="s">
        <x:v>46</x:v>
      </x:c>
      <x:c r="M199" s="3" t="s">
        <x:v>131</x:v>
      </x:c>
      <x:c r="N199" s="3" t="s">
        <x:v>48</x:v>
      </x:c>
      <x:c r="O199" s="3"/>
      <x:c r="P199" s="3" t="s">
        <x:v>132</x:v>
      </x:c>
      <x:c r="Q199" s="3" t="s">
        <x:v>36</x:v>
      </x:c>
      <x:c r="R199" s="3" t="s">
        <x:v>37</x:v>
      </x:c>
      <x:c r="S199" s="3" t="s">
        <x:v>38</x:v>
      </x:c>
      <x:c r="T199" s="3" t="s">
        <x:v>39</x:v>
      </x:c>
      <x:c r="U199" s="3" t="s">
        <x:v>40</x:v>
      </x:c>
      <x:c r="V199" s="3" t="s">
        <x:v>41</x:v>
      </x:c>
      <x:c r="W199" s="3" t="n">
        <x:v>100</x:v>
      </x:c>
      <x:c r="X199" s="3" t="n">
        <x:f aca="0">IF(ISNUMBER(W199),W199*3.412142,"")</x:f>
        <x:v>341.2142</x:v>
      </x:c>
      <x:c r="Y199" s="3" t="s">
        <x:v>42</x:v>
      </x:c>
      <x:c r="Z199" s="4" t="s">
        <x:v>856</x:v>
      </x:c>
      <x:c r="AA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</x:row>
    <x:row r="200" s="2" customFormat="1" ht="15.75" hidden="0" customHeight="1">
      <x:c r="A200" s="1" t="s">
        <x:v>852</x:v>
      </x:c>
      <x:c r="B200" s="1" t="s">
        <x:v>27</x:v>
      </x:c>
      <x:c r="C200" s="1" t="s">
        <x:v>857</x:v>
      </x:c>
      <x:c r="D200" s="1" t="s">
        <x:v>858</x:v>
      </x:c>
      <x:c r="E200" s="1" t="n">
        <x:v>1990</x:v>
      </x:c>
      <x:c r="F200" s="1"/>
      <x:c r="G200" s="1"/>
      <x:c r="H200" s="1"/>
      <x:c r="I200" s="1"/>
      <x:c r="J200" s="8" t="s">
        <x:v>139</x:v>
      </x:c>
      <x:c r="K200" s="1" t="s">
        <x:v>859</x:v>
      </x:c>
      <x:c r="L200" s="3" t="s">
        <x:v>46</x:v>
      </x:c>
      <x:c r="M200" s="3" t="s">
        <x:v>56</x:v>
      </x:c>
      <x:c r="N200" s="3" t="s">
        <x:v>48</x:v>
      </x:c>
      <x:c r="O200" s="3"/>
      <x:c r="P200" s="3" t="s">
        <x:v>49</x:v>
      </x:c>
      <x:c r="Q200" s="3" t="s">
        <x:v>36</x:v>
      </x:c>
      <x:c r="R200" s="3" t="s">
        <x:v>37</x:v>
      </x:c>
      <x:c r="S200" s="3" t="s">
        <x:v>38</x:v>
      </x:c>
      <x:c r="T200" s="3" t="s">
        <x:v>39</x:v>
      </x:c>
      <x:c r="U200" s="3" t="s">
        <x:v>604</x:v>
      </x:c>
      <x:c r="V200" s="3" t="s">
        <x:v>318</x:v>
      </x:c>
      <x:c r="W200" s="3"/>
      <x:c r="X200" s="3" t="str">
        <x:f aca="0">IF(ISNUMBER(W200),W200*3.412142,"")</x:f>
      </x:c>
      <x:c r="Y200" s="3" t="s">
        <x:v>605</x:v>
      </x:c>
      <x:c r="Z200" s="4" t="s">
        <x:v>860</x:v>
      </x:c>
      <x:c r="AA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</x:row>
    <x:row r="201" s="2" customFormat="1" ht="15.75" hidden="0" customHeight="1">
      <x:c r="A201" s="1" t="s">
        <x:v>852</x:v>
      </x:c>
      <x:c r="B201" s="1" t="s">
        <x:v>27</x:v>
      </x:c>
      <x:c r="C201" s="1" t="s">
        <x:v>861</x:v>
      </x:c>
      <x:c r="D201" s="1" t="s">
        <x:v>862</x:v>
      </x:c>
      <x:c r="E201" s="1" t="n">
        <x:v>2490</x:v>
      </x:c>
      <x:c r="F201" s="1"/>
      <x:c r="G201" s="1"/>
      <x:c r="H201" s="1"/>
      <x:c r="I201" s="1"/>
      <x:c r="J201" s="8" t="s">
        <x:v>139</x:v>
      </x:c>
      <x:c r="K201" s="1" t="s">
        <x:v>863</x:v>
      </x:c>
      <x:c r="L201" s="3" t="s">
        <x:v>46</x:v>
      </x:c>
      <x:c r="M201" s="3" t="s">
        <x:v>56</x:v>
      </x:c>
      <x:c r="N201" s="3" t="s">
        <x:v>48</x:v>
      </x:c>
      <x:c r="O201" s="3"/>
      <x:c r="P201" s="3" t="s">
        <x:v>49</x:v>
      </x:c>
      <x:c r="Q201" s="3" t="s">
        <x:v>36</x:v>
      </x:c>
      <x:c r="R201" s="3" t="s">
        <x:v>37</x:v>
      </x:c>
      <x:c r="S201" s="3" t="s">
        <x:v>38</x:v>
      </x:c>
      <x:c r="T201" s="3" t="s">
        <x:v>39</x:v>
      </x:c>
      <x:c r="U201" s="3" t="s">
        <x:v>604</x:v>
      </x:c>
      <x:c r="V201" s="3" t="s">
        <x:v>318</x:v>
      </x:c>
      <x:c r="W201" s="3"/>
      <x:c r="X201" s="3" t="str">
        <x:f aca="0">IF(ISNUMBER(W201),W201*3.412142,"")</x:f>
      </x:c>
      <x:c r="Y201" s="3" t="s">
        <x:v>605</x:v>
      </x:c>
      <x:c r="Z201" s="4" t="s">
        <x:v>864</x:v>
      </x:c>
      <x:c r="AA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</x:row>
    <x:row r="202" s="2" customFormat="1" ht="15.75" hidden="0" customHeight="1">
      <x:c r="A202" s="1" t="s">
        <x:v>852</x:v>
      </x:c>
      <x:c r="B202" s="1" t="s">
        <x:v>27</x:v>
      </x:c>
      <x:c r="C202" s="1" t="s">
        <x:v>865</x:v>
      </x:c>
      <x:c r="D202" s="1" t="s">
        <x:v>866</x:v>
      </x:c>
      <x:c r="E202" s="1" t="n">
        <x:v>870</x:v>
      </x:c>
      <x:c r="F202" s="1"/>
      <x:c r="G202" s="1"/>
      <x:c r="H202" s="1"/>
      <x:c r="I202" s="1"/>
      <x:c r="J202" s="8" t="s">
        <x:v>139</x:v>
      </x:c>
      <x:c r="K202" s="1" t="s">
        <x:v>867</x:v>
      </x:c>
      <x:c r="L202" s="3" t="s">
        <x:v>46</x:v>
      </x:c>
      <x:c r="M202" s="3" t="s">
        <x:v>131</x:v>
      </x:c>
      <x:c r="N202" s="3" t="s">
        <x:v>48</x:v>
      </x:c>
      <x:c r="O202" s="3"/>
      <x:c r="P202" s="3" t="s">
        <x:v>132</x:v>
      </x:c>
      <x:c r="Q202" s="3" t="s">
        <x:v>36</x:v>
      </x:c>
      <x:c r="R202" s="3" t="s">
        <x:v>37</x:v>
      </x:c>
      <x:c r="S202" s="3" t="s">
        <x:v>38</x:v>
      </x:c>
      <x:c r="T202" s="3" t="s">
        <x:v>39</x:v>
      </x:c>
      <x:c r="U202" s="3" t="s">
        <x:v>133</x:v>
      </x:c>
      <x:c r="V202" s="3" t="s">
        <x:v>134</x:v>
      </x:c>
      <x:c r="W202" s="3" t="n">
        <x:v>12</x:v>
      </x:c>
      <x:c r="X202" s="3" t="n">
        <x:f aca="0">IF(ISNUMBER(W202),W202*3.412142,"")</x:f>
        <x:v>40.945704</x:v>
      </x:c>
      <x:c r="Y202" s="3" t="s">
        <x:v>135</x:v>
      </x:c>
      <x:c r="Z202" s="4" t="s">
        <x:v>868</x:v>
      </x:c>
      <x:c r="AA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</x:row>
    <x:row r="203" s="2" customFormat="1" ht="15.75" hidden="0" customHeight="1">
      <x:c r="A203" s="1" t="s">
        <x:v>852</x:v>
      </x:c>
      <x:c r="B203" s="1" t="s">
        <x:v>27</x:v>
      </x:c>
      <x:c r="C203" s="1" t="s">
        <x:v>869</x:v>
      </x:c>
      <x:c r="D203" s="1" t="s">
        <x:v>870</x:v>
      </x:c>
      <x:c r="E203" s="1" t="n">
        <x:v>870</x:v>
      </x:c>
      <x:c r="F203" s="1"/>
      <x:c r="G203" s="1"/>
      <x:c r="H203" s="1"/>
      <x:c r="I203" s="1"/>
      <x:c r="J203" s="8" t="s">
        <x:v>139</x:v>
      </x:c>
      <x:c r="K203" s="1" t="s">
        <x:v>871</x:v>
      </x:c>
      <x:c r="L203" s="3" t="s">
        <x:v>46</x:v>
      </x:c>
      <x:c r="M203" s="3" t="s">
        <x:v>131</x:v>
      </x:c>
      <x:c r="N203" s="3" t="s">
        <x:v>48</x:v>
      </x:c>
      <x:c r="O203" s="3"/>
      <x:c r="P203" s="3" t="s">
        <x:v>132</x:v>
      </x:c>
      <x:c r="Q203" s="3" t="s">
        <x:v>36</x:v>
      </x:c>
      <x:c r="R203" s="3" t="s">
        <x:v>37</x:v>
      </x:c>
      <x:c r="S203" s="3" t="s">
        <x:v>38</x:v>
      </x:c>
      <x:c r="T203" s="3" t="s">
        <x:v>39</x:v>
      </x:c>
      <x:c r="U203" s="3" t="s">
        <x:v>133</x:v>
      </x:c>
      <x:c r="V203" s="3" t="s">
        <x:v>134</x:v>
      </x:c>
      <x:c r="W203" s="3" t="n">
        <x:v>12</x:v>
      </x:c>
      <x:c r="X203" s="3" t="n">
        <x:f aca="0">IF(ISNUMBER(W203),W203*3.412142,"")</x:f>
        <x:v>40.945704</x:v>
      </x:c>
      <x:c r="Y203" s="3" t="s">
        <x:v>135</x:v>
      </x:c>
      <x:c r="Z203" s="4" t="s">
        <x:v>872</x:v>
      </x:c>
      <x:c r="AA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</x:row>
    <x:row r="204" s="2" customFormat="1" ht="15.75" hidden="0" customHeight="1">
      <x:c r="A204" s="1" t="s">
        <x:v>852</x:v>
      </x:c>
      <x:c r="B204" s="1" t="s">
        <x:v>27</x:v>
      </x:c>
      <x:c r="C204" s="1" t="s">
        <x:v>873</x:v>
      </x:c>
      <x:c r="D204" s="1" t="s">
        <x:v>874</x:v>
      </x:c>
      <x:c r="E204" s="1" t="n">
        <x:v>740</x:v>
      </x:c>
      <x:c r="F204" s="1"/>
      <x:c r="G204" s="1"/>
      <x:c r="H204" s="1"/>
      <x:c r="I204" s="1"/>
      <x:c r="J204" s="8" t="s">
        <x:v>139</x:v>
      </x:c>
      <x:c r="K204" s="1" t="s">
        <x:v>875</x:v>
      </x:c>
      <x:c r="L204" s="3" t="s">
        <x:v>46</x:v>
      </x:c>
      <x:c r="M204" s="3" t="s">
        <x:v>131</x:v>
      </x:c>
      <x:c r="N204" s="3" t="s">
        <x:v>48</x:v>
      </x:c>
      <x:c r="O204" s="3"/>
      <x:c r="P204" s="3" t="s">
        <x:v>132</x:v>
      </x:c>
      <x:c r="Q204" s="3" t="s">
        <x:v>36</x:v>
      </x:c>
      <x:c r="R204" s="3" t="s">
        <x:v>37</x:v>
      </x:c>
      <x:c r="S204" s="3" t="s">
        <x:v>38</x:v>
      </x:c>
      <x:c r="T204" s="3" t="s">
        <x:v>39</x:v>
      </x:c>
      <x:c r="U204" s="3" t="s">
        <x:v>133</x:v>
      </x:c>
      <x:c r="V204" s="3" t="s">
        <x:v>134</x:v>
      </x:c>
      <x:c r="W204" s="3" t="n">
        <x:v>12</x:v>
      </x:c>
      <x:c r="X204" s="3" t="n">
        <x:f aca="0">IF(ISNUMBER(W204),W204*3.412142,"")</x:f>
        <x:v>40.945704</x:v>
      </x:c>
      <x:c r="Y204" s="3" t="s">
        <x:v>135</x:v>
      </x:c>
      <x:c r="Z204" s="4"/>
      <x:c r="AA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</x:row>
    <x:row r="205" s="2" customFormat="1" ht="15.75" hidden="0" customHeight="1">
      <x:c r="A205" s="1" t="s">
        <x:v>852</x:v>
      </x:c>
      <x:c r="B205" s="1" t="s">
        <x:v>27</x:v>
      </x:c>
      <x:c r="C205" s="1" t="s">
        <x:v>876</x:v>
      </x:c>
      <x:c r="D205" s="1" t="s">
        <x:v>877</x:v>
      </x:c>
      <x:c r="E205" s="1" t="n">
        <x:v>1220</x:v>
      </x:c>
      <x:c r="F205" s="1"/>
      <x:c r="G205" s="1"/>
      <x:c r="H205" s="1"/>
      <x:c r="I205" s="1"/>
      <x:c r="J205" s="8" t="s">
        <x:v>139</x:v>
      </x:c>
      <x:c r="K205" s="1" t="s">
        <x:v>878</x:v>
      </x:c>
      <x:c r="L205" s="3" t="s">
        <x:v>46</x:v>
      </x:c>
      <x:c r="M205" s="3" t="s">
        <x:v>56</x:v>
      </x:c>
      <x:c r="N205" s="3" t="s">
        <x:v>48</x:v>
      </x:c>
      <x:c r="O205" s="3"/>
      <x:c r="P205" s="3" t="s">
        <x:v>49</x:v>
      </x:c>
      <x:c r="Q205" s="3" t="s">
        <x:v>36</x:v>
      </x:c>
      <x:c r="R205" s="3" t="s">
        <x:v>37</x:v>
      </x:c>
      <x:c r="S205" s="3" t="s">
        <x:v>38</x:v>
      </x:c>
      <x:c r="T205" s="3" t="s">
        <x:v>39</x:v>
      </x:c>
      <x:c r="U205" s="3" t="s">
        <x:v>133</x:v>
      </x:c>
      <x:c r="V205" s="3" t="s">
        <x:v>134</x:v>
      </x:c>
      <x:c r="W205" s="3" t="n">
        <x:v>12</x:v>
      </x:c>
      <x:c r="X205" s="3" t="n">
        <x:f aca="0">IF(ISNUMBER(W205),W205*3.412142,"")</x:f>
        <x:v>40.945704</x:v>
      </x:c>
      <x:c r="Y205" s="3" t="s">
        <x:v>135</x:v>
      </x:c>
      <x:c r="Z205" s="4"/>
      <x:c r="AA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</x:row>
    <x:row r="206" s="2" customFormat="1" ht="15.75" hidden="0" customHeight="1">
      <x:c r="A206" s="1" t="s">
        <x:v>852</x:v>
      </x:c>
      <x:c r="B206" s="1" t="s">
        <x:v>27</x:v>
      </x:c>
      <x:c r="C206" s="1" t="s">
        <x:v>879</x:v>
      </x:c>
      <x:c r="D206" s="1" t="s">
        <x:v>880</x:v>
      </x:c>
      <x:c r="E206" s="1" t="n">
        <x:v>610</x:v>
      </x:c>
      <x:c r="F206" s="1"/>
      <x:c r="G206" s="1"/>
      <x:c r="H206" s="1"/>
      <x:c r="I206" s="1"/>
      <x:c r="J206" s="8" t="s">
        <x:v>139</x:v>
      </x:c>
      <x:c r="K206" s="1" t="s">
        <x:v>881</x:v>
      </x:c>
      <x:c r="L206" s="3" t="s">
        <x:v>882</x:v>
      </x:c>
      <x:c r="M206" s="3" t="s">
        <x:v>293</x:v>
      </x:c>
      <x:c r="N206" s="3" t="s">
        <x:v>601</x:v>
      </x:c>
      <x:c r="O206" s="3"/>
      <x:c r="P206" s="3" t="s">
        <x:v>401</x:v>
      </x:c>
      <x:c r="Q206" s="3" t="s">
        <x:v>883</x:v>
      </x:c>
      <x:c r="R206" s="3" t="s">
        <x:v>156</x:v>
      </x:c>
      <x:c r="S206" s="3" t="s">
        <x:v>157</x:v>
      </x:c>
      <x:c r="T206" s="3" t="s">
        <x:v>158</x:v>
      </x:c>
      <x:c r="U206" s="3" t="s">
        <x:v>884</x:v>
      </x:c>
      <x:c r="V206" s="3" t="s">
        <x:v>885</x:v>
      </x:c>
      <x:c r="W206" s="3" t="n">
        <x:v>1</x:v>
      </x:c>
      <x:c r="X206" s="3" t="n">
        <x:f aca="0">IF(ISNUMBER(W206),W206*3.412142,"")</x:f>
        <x:v>3.412142</x:v>
      </x:c>
      <x:c r="Y206" s="3" t="s">
        <x:v>886</x:v>
      </x:c>
      <x:c r="Z206" s="4" t="s">
        <x:v>887</x:v>
      </x:c>
      <x:c r="AA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</x:row>
    <x:row r="207" s="2" customFormat="1" ht="15.75" hidden="0" customHeight="1">
      <x:c r="A207" s="1" t="s">
        <x:v>852</x:v>
      </x:c>
      <x:c r="B207" s="1" t="s">
        <x:v>27</x:v>
      </x:c>
      <x:c r="C207" s="1" t="s">
        <x:v>888</x:v>
      </x:c>
      <x:c r="D207" s="1" t="s">
        <x:v>889</x:v>
      </x:c>
      <x:c r="E207" s="1" t="n">
        <x:v>490</x:v>
      </x:c>
      <x:c r="F207" s="1"/>
      <x:c r="G207" s="1"/>
      <x:c r="H207" s="1"/>
      <x:c r="I207" s="1"/>
      <x:c r="J207" s="8" t="s">
        <x:v>139</x:v>
      </x:c>
      <x:c r="K207" s="1" t="s">
        <x:v>890</x:v>
      </x:c>
      <x:c r="L207" s="3" t="s">
        <x:v>46</x:v>
      </x:c>
      <x:c r="M207" s="3" t="s">
        <x:v>131</x:v>
      </x:c>
      <x:c r="N207" s="3" t="s">
        <x:v>48</x:v>
      </x:c>
      <x:c r="O207" s="3"/>
      <x:c r="P207" s="3" t="s">
        <x:v>132</x:v>
      </x:c>
      <x:c r="Q207" s="3" t="s">
        <x:v>36</x:v>
      </x:c>
      <x:c r="R207" s="3" t="s">
        <x:v>37</x:v>
      </x:c>
      <x:c r="S207" s="3" t="s">
        <x:v>38</x:v>
      </x:c>
      <x:c r="T207" s="3" t="s">
        <x:v>39</x:v>
      </x:c>
      <x:c r="U207" s="3" t="s">
        <x:v>884</x:v>
      </x:c>
      <x:c r="V207" s="3" t="s">
        <x:v>891</x:v>
      </x:c>
      <x:c r="W207" s="3" t="n">
        <x:v>4.5</x:v>
      </x:c>
      <x:c r="X207" s="3" t="n">
        <x:f aca="0">IF(ISNUMBER(W207),W207*3.412142,"")</x:f>
        <x:v>15.354638999999999</x:v>
      </x:c>
      <x:c r="Y207" s="3" t="s">
        <x:v>892</x:v>
      </x:c>
      <x:c r="Z207" s="4" t="s">
        <x:v>893</x:v>
      </x:c>
      <x:c r="AA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</x:row>
    <x:row r="208" s="2" customFormat="1" ht="15.75" hidden="0" customHeight="1">
      <x:c r="A208" s="1" t="s">
        <x:v>309</x:v>
      </x:c>
      <x:c r="B208" s="1" t="s">
        <x:v>27</x:v>
      </x:c>
      <x:c r="C208" s="1" t="s">
        <x:v>894</x:v>
      </x:c>
      <x:c r="D208" s="1" t="s">
        <x:v>895</x:v>
      </x:c>
      <x:c r="E208" s="1" t="n">
        <x:v>560</x:v>
      </x:c>
      <x:c r="F208" s="1"/>
      <x:c r="G208" s="1"/>
      <x:c r="H208" s="1"/>
      <x:c r="I208" s="1"/>
      <x:c r="J208" s="14" t="s">
        <x:v>312</x:v>
      </x:c>
      <x:c r="K208" s="1" t="s">
        <x:v>896</x:v>
      </x:c>
      <x:c r="L208" s="3" t="s">
        <x:v>314</x:v>
      </x:c>
      <x:c r="M208" s="3" t="s">
        <x:v>314</x:v>
      </x:c>
      <x:c r="N208" s="3" t="s">
        <x:v>315</x:v>
      </x:c>
      <x:c r="O208" s="3"/>
      <x:c r="P208" s="3" t="s">
        <x:v>897</x:v>
      </x:c>
      <x:c r="Q208" s="3" t="s">
        <x:v>317</x:v>
      </x:c>
      <x:c r="R208" s="3" t="s">
        <x:v>156</x:v>
      </x:c>
      <x:c r="S208" s="3" t="s">
        <x:v>157</x:v>
      </x:c>
      <x:c r="T208" s="3" t="s">
        <x:v>158</x:v>
      </x:c>
      <x:c r="U208" s="3" t="s">
        <x:v>318</x:v>
      </x:c>
      <x:c r="V208" s="3" t="s">
        <x:v>318</x:v>
      </x:c>
      <x:c r="W208" s="3" t="n">
        <x:v>0</x:v>
      </x:c>
      <x:c r="X208" s="3" t="n">
        <x:f aca="0">IF(ISNUMBER(W208),W208*3.412142,"")</x:f>
        <x:v>0</x:v>
      </x:c>
      <x:c r="Y208" s="3" t="s">
        <x:v>319</x:v>
      </x:c>
      <x:c r="Z208" s="4"/>
      <x:c r="AA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</x:row>
    <x:row r="209" s="2" customFormat="1" ht="15.75" hidden="0" customHeight="1">
      <x:c r="A209" s="1" t="s">
        <x:v>309</x:v>
      </x:c>
      <x:c r="B209" s="1" t="s">
        <x:v>27</x:v>
      </x:c>
      <x:c r="C209" s="1" t="s">
        <x:v>898</x:v>
      </x:c>
      <x:c r="D209" s="1" t="s">
        <x:v>899</x:v>
      </x:c>
      <x:c r="E209" s="1" t="n">
        <x:v>670</x:v>
      </x:c>
      <x:c r="F209" s="1"/>
      <x:c r="G209" s="1"/>
      <x:c r="H209" s="1"/>
      <x:c r="I209" s="1"/>
      <x:c r="J209" s="14" t="s">
        <x:v>312</x:v>
      </x:c>
      <x:c r="K209" s="1" t="s">
        <x:v>900</x:v>
      </x:c>
      <x:c r="L209" s="3" t="s">
        <x:v>901</x:v>
      </x:c>
      <x:c r="M209" s="3"/>
      <x:c r="N209" s="3"/>
      <x:c r="O209" s="3" t="s">
        <x:v>902</x:v>
      </x:c>
      <x:c r="P209" s="3" t="s">
        <x:v>119</x:v>
      </x:c>
      <x:c r="Q209" s="3" t="s">
        <x:v>317</x:v>
      </x:c>
      <x:c r="R209" s="3" t="s">
        <x:v>156</x:v>
      </x:c>
      <x:c r="S209" s="3" t="s">
        <x:v>157</x:v>
      </x:c>
      <x:c r="T209" s="3" t="s">
        <x:v>158</x:v>
      </x:c>
      <x:c r="U209" s="3" t="s">
        <x:v>318</x:v>
      </x:c>
      <x:c r="V209" s="3" t="s">
        <x:v>318</x:v>
      </x:c>
      <x:c r="W209" s="3" t="n">
        <x:v>0</x:v>
      </x:c>
      <x:c r="X209" s="3" t="n">
        <x:f aca="0">IF(ISNUMBER(W209),W209*3.412142,"")</x:f>
        <x:v>0</x:v>
      </x:c>
      <x:c r="Y209" s="3" t="s">
        <x:v>319</x:v>
      </x:c>
      <x:c r="Z209" s="4" t="s">
        <x:v>903</x:v>
      </x:c>
      <x:c r="AA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</x:row>
    <x:row r="210" s="2" customFormat="1" ht="15.75" hidden="0" customHeight="1">
      <x:c r="A210" s="1" t="s">
        <x:v>309</x:v>
      </x:c>
      <x:c r="B210" s="1" t="s">
        <x:v>27</x:v>
      </x:c>
      <x:c r="C210" s="1" t="s">
        <x:v>904</x:v>
      </x:c>
      <x:c r="D210" s="1" t="s">
        <x:v>905</x:v>
      </x:c>
      <x:c r="E210" s="1" t="n">
        <x:v>670</x:v>
      </x:c>
      <x:c r="F210" s="1"/>
      <x:c r="G210" s="1"/>
      <x:c r="H210" s="1"/>
      <x:c r="I210" s="1"/>
      <x:c r="J210" s="14" t="s">
        <x:v>312</x:v>
      </x:c>
      <x:c r="K210" s="1" t="s">
        <x:v>900</x:v>
      </x:c>
      <x:c r="L210" s="3" t="s">
        <x:v>906</x:v>
      </x:c>
      <x:c r="M210" s="3"/>
      <x:c r="N210" s="3"/>
      <x:c r="O210" s="3" t="s">
        <x:v>902</x:v>
      </x:c>
      <x:c r="P210" s="3" t="s">
        <x:v>284</x:v>
      </x:c>
      <x:c r="Q210" s="3" t="s">
        <x:v>317</x:v>
      </x:c>
      <x:c r="R210" s="3" t="s">
        <x:v>156</x:v>
      </x:c>
      <x:c r="S210" s="3" t="s">
        <x:v>157</x:v>
      </x:c>
      <x:c r="T210" s="3" t="s">
        <x:v>158</x:v>
      </x:c>
      <x:c r="U210" s="3" t="s">
        <x:v>318</x:v>
      </x:c>
      <x:c r="V210" s="3" t="s">
        <x:v>318</x:v>
      </x:c>
      <x:c r="W210" s="3" t="n">
        <x:v>0</x:v>
      </x:c>
      <x:c r="X210" s="3" t="n">
        <x:f aca="0">IF(ISNUMBER(W210),W210*3.412142,"")</x:f>
        <x:v>0</x:v>
      </x:c>
      <x:c r="Y210" s="3" t="s">
        <x:v>319</x:v>
      </x:c>
      <x:c r="Z210" s="4" t="s">
        <x:v>903</x:v>
      </x:c>
      <x:c r="AA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</x:row>
    <x:row r="211" s="2" customFormat="1" ht="15.75" hidden="0" customHeight="1">
      <x:c r="A211" s="1" t="s">
        <x:v>309</x:v>
      </x:c>
      <x:c r="B211" s="1" t="s">
        <x:v>27</x:v>
      </x:c>
      <x:c r="C211" s="1" t="s">
        <x:v>907</x:v>
      </x:c>
      <x:c r="D211" s="1" t="s">
        <x:v>908</x:v>
      </x:c>
      <x:c r="E211" s="1" t="n">
        <x:v>280</x:v>
      </x:c>
      <x:c r="F211" s="1"/>
      <x:c r="G211" s="1"/>
      <x:c r="H211" s="1"/>
      <x:c r="I211" s="1"/>
      <x:c r="J211" s="14" t="s">
        <x:v>312</x:v>
      </x:c>
      <x:c r="K211" s="1" t="s">
        <x:v>909</x:v>
      </x:c>
      <x:c r="L211" s="3" t="s">
        <x:v>910</x:v>
      </x:c>
      <x:c r="M211" s="3" t="s">
        <x:v>911</x:v>
      </x:c>
      <x:c r="N211" s="3" t="s">
        <x:v>601</x:v>
      </x:c>
      <x:c r="O211" s="3"/>
      <x:c r="P211" s="3" t="s">
        <x:v>912</x:v>
      </x:c>
      <x:c r="Q211" s="3" t="s">
        <x:v>317</x:v>
      </x:c>
      <x:c r="R211" s="3" t="s">
        <x:v>156</x:v>
      </x:c>
      <x:c r="S211" s="3" t="s">
        <x:v>157</x:v>
      </x:c>
      <x:c r="T211" s="3" t="s">
        <x:v>158</x:v>
      </x:c>
      <x:c r="U211" s="3" t="s">
        <x:v>318</x:v>
      </x:c>
      <x:c r="V211" s="3" t="s">
        <x:v>318</x:v>
      </x:c>
      <x:c r="W211" s="3" t="n">
        <x:v>0</x:v>
      </x:c>
      <x:c r="X211" s="3" t="n">
        <x:f aca="0">IF(ISNUMBER(W211),W211*3.412142,"")</x:f>
        <x:v>0</x:v>
      </x:c>
      <x:c r="Y211" s="3" t="s">
        <x:v>319</x:v>
      </x:c>
      <x:c r="Z211" s="4"/>
      <x:c r="AA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</x:row>
    <x:row r="212" s="2" customFormat="1" ht="15.75" hidden="0" customHeight="1">
      <x:c r="A212" s="1" t="s">
        <x:v>309</x:v>
      </x:c>
      <x:c r="B212" s="1" t="s">
        <x:v>27</x:v>
      </x:c>
      <x:c r="C212" s="1" t="s">
        <x:v>913</x:v>
      </x:c>
      <x:c r="D212" s="1" t="s">
        <x:v>914</x:v>
      </x:c>
      <x:c r="E212" s="1" t="n">
        <x:v>320</x:v>
      </x:c>
      <x:c r="F212" s="1"/>
      <x:c r="G212" s="1"/>
      <x:c r="H212" s="1"/>
      <x:c r="I212" s="1"/>
      <x:c r="J212" s="14" t="s">
        <x:v>312</x:v>
      </x:c>
      <x:c r="K212" s="1" t="s">
        <x:v>909</x:v>
      </x:c>
      <x:c r="L212" s="3" t="s">
        <x:v>915</x:v>
      </x:c>
      <x:c r="M212" s="3"/>
      <x:c r="N212" s="3"/>
      <x:c r="O212" s="3" t="s">
        <x:v>916</x:v>
      </x:c>
      <x:c r="P212" s="3" t="s">
        <x:v>49</x:v>
      </x:c>
      <x:c r="Q212" s="3" t="s">
        <x:v>317</x:v>
      </x:c>
      <x:c r="R212" s="3" t="s">
        <x:v>156</x:v>
      </x:c>
      <x:c r="S212" s="3" t="s">
        <x:v>157</x:v>
      </x:c>
      <x:c r="T212" s="3" t="s">
        <x:v>158</x:v>
      </x:c>
      <x:c r="U212" s="3" t="s">
        <x:v>318</x:v>
      </x:c>
      <x:c r="V212" s="3" t="s">
        <x:v>318</x:v>
      </x:c>
      <x:c r="W212" s="3" t="n">
        <x:v>0</x:v>
      </x:c>
      <x:c r="X212" s="3" t="n">
        <x:f aca="0">IF(ISNUMBER(W212),W212*3.412142,"")</x:f>
        <x:v>0</x:v>
      </x:c>
      <x:c r="Y212" s="3" t="s">
        <x:v>319</x:v>
      </x:c>
      <x:c r="Z212" s="4" t="s">
        <x:v>903</x:v>
      </x:c>
      <x:c r="AA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</x:row>
    <x:row r="213" s="2" customFormat="1" ht="15.75" hidden="0" customHeight="1">
      <x:c r="A213" s="1" t="s">
        <x:v>309</x:v>
      </x:c>
      <x:c r="B213" s="1" t="s">
        <x:v>27</x:v>
      </x:c>
      <x:c r="C213" s="1" t="s">
        <x:v>917</x:v>
      </x:c>
      <x:c r="D213" s="1" t="s">
        <x:v>918</x:v>
      </x:c>
      <x:c r="E213" s="1" t="n">
        <x:v>370</x:v>
      </x:c>
      <x:c r="F213" s="1"/>
      <x:c r="G213" s="1"/>
      <x:c r="H213" s="1"/>
      <x:c r="I213" s="1"/>
      <x:c r="J213" s="14" t="s">
        <x:v>312</x:v>
      </x:c>
      <x:c r="K213" s="1" t="s">
        <x:v>896</x:v>
      </x:c>
      <x:c r="L213" s="3" t="s">
        <x:v>915</x:v>
      </x:c>
      <x:c r="M213" s="3"/>
      <x:c r="N213" s="3"/>
      <x:c r="O213" s="3" t="s">
        <x:v>916</x:v>
      </x:c>
      <x:c r="P213" s="3" t="s">
        <x:v>919</x:v>
      </x:c>
      <x:c r="Q213" s="3" t="s">
        <x:v>317</x:v>
      </x:c>
      <x:c r="R213" s="3" t="s">
        <x:v>156</x:v>
      </x:c>
      <x:c r="S213" s="3" t="s">
        <x:v>157</x:v>
      </x:c>
      <x:c r="T213" s="3" t="s">
        <x:v>158</x:v>
      </x:c>
      <x:c r="U213" s="3" t="s">
        <x:v>318</x:v>
      </x:c>
      <x:c r="V213" s="3" t="s">
        <x:v>318</x:v>
      </x:c>
      <x:c r="W213" s="3" t="n">
        <x:v>0</x:v>
      </x:c>
      <x:c r="X213" s="3" t="n">
        <x:f aca="0">IF(ISNUMBER(W213),W213*3.412142,"")</x:f>
        <x:v>0</x:v>
      </x:c>
      <x:c r="Y213" s="3" t="s">
        <x:v>319</x:v>
      </x:c>
      <x:c r="Z213" s="4" t="s">
        <x:v>903</x:v>
      </x:c>
      <x:c r="AA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</x:row>
    <x:row r="214" s="2" customFormat="1" ht="15.75" hidden="0" customHeight="1">
      <x:c r="A214" s="1" t="s">
        <x:v>309</x:v>
      </x:c>
      <x:c r="B214" s="1" t="s">
        <x:v>27</x:v>
      </x:c>
      <x:c r="C214" s="1" t="s">
        <x:v>920</x:v>
      </x:c>
      <x:c r="D214" s="1" t="s">
        <x:v>921</x:v>
      </x:c>
      <x:c r="E214" s="1" t="n">
        <x:v>570</x:v>
      </x:c>
      <x:c r="F214" s="1"/>
      <x:c r="G214" s="1"/>
      <x:c r="H214" s="1"/>
      <x:c r="I214" s="1"/>
      <x:c r="J214" s="14" t="s">
        <x:v>312</x:v>
      </x:c>
      <x:c r="K214" s="1" t="s">
        <x:v>896</x:v>
      </x:c>
      <x:c r="L214" s="3" t="s">
        <x:v>397</x:v>
      </x:c>
      <x:c r="M214" s="3"/>
      <x:c r="N214" s="3"/>
      <x:c r="O214" s="3" t="s">
        <x:v>922</x:v>
      </x:c>
      <x:c r="P214" s="3" t="s">
        <x:v>35</x:v>
      </x:c>
      <x:c r="Q214" s="3" t="s">
        <x:v>317</x:v>
      </x:c>
      <x:c r="R214" s="3" t="s">
        <x:v>156</x:v>
      </x:c>
      <x:c r="S214" s="3" t="s">
        <x:v>157</x:v>
      </x:c>
      <x:c r="T214" s="3" t="s">
        <x:v>158</x:v>
      </x:c>
      <x:c r="U214" s="3" t="s">
        <x:v>318</x:v>
      </x:c>
      <x:c r="V214" s="3" t="s">
        <x:v>318</x:v>
      </x:c>
      <x:c r="W214" s="3" t="n">
        <x:v>0</x:v>
      </x:c>
      <x:c r="X214" s="3" t="n">
        <x:f aca="0">IF(ISNUMBER(W214),W214*3.412142,"")</x:f>
        <x:v>0</x:v>
      </x:c>
      <x:c r="Y214" s="3" t="s">
        <x:v>319</x:v>
      </x:c>
      <x:c r="Z214" s="4" t="s">
        <x:v>903</x:v>
      </x:c>
      <x:c r="AA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</x:row>
    <x:row r="215" s="2" customFormat="1" ht="15.75" hidden="0" customHeight="1">
      <x:c r="A215" s="1" t="s">
        <x:v>309</x:v>
      </x:c>
      <x:c r="B215" s="1" t="s">
        <x:v>27</x:v>
      </x:c>
      <x:c r="C215" s="1" t="s">
        <x:v>923</x:v>
      </x:c>
      <x:c r="D215" s="1" t="s">
        <x:v>924</x:v>
      </x:c>
      <x:c r="E215" s="1" t="n">
        <x:v>680</x:v>
      </x:c>
      <x:c r="F215" s="1"/>
      <x:c r="G215" s="1"/>
      <x:c r="H215" s="1"/>
      <x:c r="I215" s="1"/>
      <x:c r="J215" s="14" t="s">
        <x:v>312</x:v>
      </x:c>
      <x:c r="K215" s="1" t="s">
        <x:v>896</x:v>
      </x:c>
      <x:c r="L215" s="3" t="s">
        <x:v>925</x:v>
      </x:c>
      <x:c r="M215" s="3"/>
      <x:c r="N215" s="3"/>
      <x:c r="O215" s="3" t="s">
        <x:v>922</x:v>
      </x:c>
      <x:c r="P215" s="3" t="s">
        <x:v>926</x:v>
      </x:c>
      <x:c r="Q215" s="3" t="s">
        <x:v>317</x:v>
      </x:c>
      <x:c r="R215" s="3" t="s">
        <x:v>156</x:v>
      </x:c>
      <x:c r="S215" s="3" t="s">
        <x:v>157</x:v>
      </x:c>
      <x:c r="T215" s="3" t="s">
        <x:v>158</x:v>
      </x:c>
      <x:c r="U215" s="3" t="s">
        <x:v>318</x:v>
      </x:c>
      <x:c r="V215" s="3" t="s">
        <x:v>318</x:v>
      </x:c>
      <x:c r="W215" s="3" t="n">
        <x:v>0</x:v>
      </x:c>
      <x:c r="X215" s="3" t="n">
        <x:f aca="0">IF(ISNUMBER(W215),W215*3.412142,"")</x:f>
        <x:v>0</x:v>
      </x:c>
      <x:c r="Y215" s="3" t="s">
        <x:v>319</x:v>
      </x:c>
      <x:c r="Z215" s="4" t="s">
        <x:v>903</x:v>
      </x:c>
      <x:c r="AA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</x:row>
    <x:row r="216" s="2" customFormat="1" ht="15.75" hidden="0" customHeight="1">
      <x:c r="A216" s="1" t="s">
        <x:v>309</x:v>
      </x:c>
      <x:c r="B216" s="1" t="s">
        <x:v>27</x:v>
      </x:c>
      <x:c r="C216" s="1" t="s">
        <x:v>927</x:v>
      </x:c>
      <x:c r="D216" s="1" t="s">
        <x:v>928</x:v>
      </x:c>
      <x:c r="E216" s="1" t="n">
        <x:v>290</x:v>
      </x:c>
      <x:c r="F216" s="1"/>
      <x:c r="G216" s="1"/>
      <x:c r="H216" s="1"/>
      <x:c r="I216" s="1"/>
      <x:c r="J216" s="14" t="s">
        <x:v>312</x:v>
      </x:c>
      <x:c r="K216" s="1" t="s">
        <x:v>896</x:v>
      </x:c>
      <x:c r="L216" s="3" t="s">
        <x:v>929</x:v>
      </x:c>
      <x:c r="M216" s="3"/>
      <x:c r="N216" s="3"/>
      <x:c r="O216" s="3" t="s">
        <x:v>930</x:v>
      </x:c>
      <x:c r="P216" s="3" t="s">
        <x:v>35</x:v>
      </x:c>
      <x:c r="Q216" s="3" t="s">
        <x:v>317</x:v>
      </x:c>
      <x:c r="R216" s="3" t="s">
        <x:v>156</x:v>
      </x:c>
      <x:c r="S216" s="3" t="s">
        <x:v>157</x:v>
      </x:c>
      <x:c r="T216" s="3" t="s">
        <x:v>158</x:v>
      </x:c>
      <x:c r="U216" s="3" t="s">
        <x:v>318</x:v>
      </x:c>
      <x:c r="V216" s="3" t="s">
        <x:v>318</x:v>
      </x:c>
      <x:c r="W216" s="3" t="n">
        <x:v>0</x:v>
      </x:c>
      <x:c r="X216" s="3" t="n">
        <x:f aca="0">IF(ISNUMBER(W216),W216*3.412142,"")</x:f>
        <x:v>0</x:v>
      </x:c>
      <x:c r="Y216" s="3" t="s">
        <x:v>319</x:v>
      </x:c>
      <x:c r="Z216" s="4" t="s">
        <x:v>903</x:v>
      </x:c>
      <x:c r="AA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</x:row>
    <x:row r="217" s="2" customFormat="1" ht="15.75" hidden="0" customHeight="1">
      <x:c r="A217" s="1" t="s">
        <x:v>309</x:v>
      </x:c>
      <x:c r="B217" s="1" t="s">
        <x:v>27</x:v>
      </x:c>
      <x:c r="C217" s="1" t="s">
        <x:v>931</x:v>
      </x:c>
      <x:c r="D217" s="1" t="s">
        <x:v>932</x:v>
      </x:c>
      <x:c r="E217" s="1" t="n">
        <x:v>410</x:v>
      </x:c>
      <x:c r="F217" s="1"/>
      <x:c r="G217" s="1"/>
      <x:c r="H217" s="1"/>
      <x:c r="I217" s="1"/>
      <x:c r="J217" s="14" t="s">
        <x:v>312</x:v>
      </x:c>
      <x:c r="K217" s="1" t="s">
        <x:v>896</x:v>
      </x:c>
      <x:c r="L217" s="3" t="s">
        <x:v>925</x:v>
      </x:c>
      <x:c r="M217" s="3"/>
      <x:c r="N217" s="3"/>
      <x:c r="O217" s="3" t="s">
        <x:v>922</x:v>
      </x:c>
      <x:c r="P217" s="3" t="s">
        <x:v>926</x:v>
      </x:c>
      <x:c r="Q217" s="3" t="s">
        <x:v>317</x:v>
      </x:c>
      <x:c r="R217" s="3" t="s">
        <x:v>156</x:v>
      </x:c>
      <x:c r="S217" s="3" t="s">
        <x:v>157</x:v>
      </x:c>
      <x:c r="T217" s="3" t="s">
        <x:v>158</x:v>
      </x:c>
      <x:c r="U217" s="3" t="s">
        <x:v>318</x:v>
      </x:c>
      <x:c r="V217" s="3" t="s">
        <x:v>318</x:v>
      </x:c>
      <x:c r="W217" s="3" t="n">
        <x:v>0</x:v>
      </x:c>
      <x:c r="X217" s="3" t="n">
        <x:f aca="0">IF(ISNUMBER(W217),W217*3.412142,"")</x:f>
        <x:v>0</x:v>
      </x:c>
      <x:c r="Y217" s="3" t="s">
        <x:v>319</x:v>
      </x:c>
      <x:c r="Z217" s="4" t="s">
        <x:v>903</x:v>
      </x:c>
      <x:c r="AA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</x:row>
    <x:row r="218" s="2" customFormat="1" ht="15.75" hidden="0" customHeight="1">
      <x:c r="A218" s="1" t="s">
        <x:v>309</x:v>
      </x:c>
      <x:c r="B218" s="1" t="s">
        <x:v>27</x:v>
      </x:c>
      <x:c r="C218" s="1" t="s">
        <x:v>933</x:v>
      </x:c>
      <x:c r="D218" s="1" t="s">
        <x:v>934</x:v>
      </x:c>
      <x:c r="E218" s="1" t="n">
        <x:v>1210</x:v>
      </x:c>
      <x:c r="F218" s="1"/>
      <x:c r="G218" s="1"/>
      <x:c r="H218" s="1"/>
      <x:c r="I218" s="1"/>
      <x:c r="J218" s="14" t="s">
        <x:v>312</x:v>
      </x:c>
      <x:c r="K218" s="1" t="s">
        <x:v>935</x:v>
      </x:c>
      <x:c r="L218" s="3" t="s">
        <x:v>314</x:v>
      </x:c>
      <x:c r="M218" s="3" t="s">
        <x:v>314</x:v>
      </x:c>
      <x:c r="N218" s="3" t="s">
        <x:v>600</x:v>
      </x:c>
      <x:c r="O218" s="3"/>
      <x:c r="P218" s="3" t="s">
        <x:v>65</x:v>
      </x:c>
      <x:c r="Q218" s="3" t="s">
        <x:v>317</x:v>
      </x:c>
      <x:c r="R218" s="3" t="s">
        <x:v>156</x:v>
      </x:c>
      <x:c r="S218" s="3" t="s">
        <x:v>157</x:v>
      </x:c>
      <x:c r="T218" s="3" t="s">
        <x:v>158</x:v>
      </x:c>
      <x:c r="U218" s="3" t="s">
        <x:v>318</x:v>
      </x:c>
      <x:c r="V218" s="3" t="s">
        <x:v>318</x:v>
      </x:c>
      <x:c r="W218" s="3" t="n">
        <x:v>0</x:v>
      </x:c>
      <x:c r="X218" s="3" t="n">
        <x:f aca="0">IF(ISNUMBER(W218),W218*3.412142,"")</x:f>
        <x:v>0</x:v>
      </x:c>
      <x:c r="Y218" s="3" t="s">
        <x:v>319</x:v>
      </x:c>
      <x:c r="Z218" s="4"/>
      <x:c r="AA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</x:row>
    <x:row r="219" s="2" customFormat="1" ht="15.75" hidden="0" customHeight="1">
      <x:c r="A219" s="1" t="s">
        <x:v>309</x:v>
      </x:c>
      <x:c r="B219" s="1" t="s">
        <x:v>27</x:v>
      </x:c>
      <x:c r="C219" s="1" t="s">
        <x:v>936</x:v>
      </x:c>
      <x:c r="D219" s="1" t="s">
        <x:v>937</x:v>
      </x:c>
      <x:c r="E219" s="1" t="n">
        <x:v>1140</x:v>
      </x:c>
      <x:c r="F219" s="1"/>
      <x:c r="G219" s="1"/>
      <x:c r="H219" s="1"/>
      <x:c r="I219" s="1"/>
      <x:c r="J219" s="14" t="s">
        <x:v>312</x:v>
      </x:c>
      <x:c r="K219" s="1" t="s">
        <x:v>938</x:v>
      </x:c>
      <x:c r="L219" s="3" t="s">
        <x:v>939</x:v>
      </x:c>
      <x:c r="M219" s="3"/>
      <x:c r="N219" s="3"/>
      <x:c r="O219" s="3" t="s">
        <x:v>940</x:v>
      </x:c>
      <x:c r="P219" s="3" t="s">
        <x:v>941</x:v>
      </x:c>
      <x:c r="Q219" s="3" t="s">
        <x:v>317</x:v>
      </x:c>
      <x:c r="R219" s="3" t="s">
        <x:v>156</x:v>
      </x:c>
      <x:c r="S219" s="3" t="s">
        <x:v>157</x:v>
      </x:c>
      <x:c r="T219" s="3" t="s">
        <x:v>158</x:v>
      </x:c>
      <x:c r="U219" s="3" t="s">
        <x:v>180</x:v>
      </x:c>
      <x:c r="V219" s="3" t="s">
        <x:v>181</x:v>
      </x:c>
      <x:c r="W219" s="3" t="n">
        <x:v>25.5</x:v>
      </x:c>
      <x:c r="X219" s="3" t="n">
        <x:f aca="0">IF(ISNUMBER(W219),W219*3.412142,"")</x:f>
        <x:v>87.009621</x:v>
      </x:c>
      <x:c r="Y219" s="3" t="s">
        <x:v>277</x:v>
      </x:c>
      <x:c r="Z219" s="4" t="s">
        <x:v>942</x:v>
      </x:c>
      <x:c r="AA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</x:row>
    <x:row r="220" s="2" customFormat="1" ht="15.75" hidden="0" customHeight="1">
      <x:c r="A220" s="1" t="s">
        <x:v>309</x:v>
      </x:c>
      <x:c r="B220" s="1" t="s">
        <x:v>27</x:v>
      </x:c>
      <x:c r="C220" s="1" t="s">
        <x:v>943</x:v>
      </x:c>
      <x:c r="D220" s="1" t="s">
        <x:v>944</x:v>
      </x:c>
      <x:c r="E220" s="1" t="n">
        <x:v>390</x:v>
      </x:c>
      <x:c r="F220" s="1"/>
      <x:c r="G220" s="1"/>
      <x:c r="H220" s="1"/>
      <x:c r="I220" s="1"/>
      <x:c r="J220" s="14" t="s">
        <x:v>312</x:v>
      </x:c>
      <x:c r="K220" s="1" t="s">
        <x:v>896</x:v>
      </x:c>
      <x:c r="L220" s="3" t="s">
        <x:v>945</x:v>
      </x:c>
      <x:c r="M220" s="3"/>
      <x:c r="N220" s="3"/>
      <x:c r="O220" s="3" t="s">
        <x:v>946</x:v>
      </x:c>
      <x:c r="P220" s="3" t="s">
        <x:v>206</x:v>
      </x:c>
      <x:c r="Q220" s="3" t="s">
        <x:v>317</x:v>
      </x:c>
      <x:c r="R220" s="3" t="s">
        <x:v>156</x:v>
      </x:c>
      <x:c r="S220" s="3" t="s">
        <x:v>157</x:v>
      </x:c>
      <x:c r="T220" s="3" t="s">
        <x:v>158</x:v>
      </x:c>
      <x:c r="U220" s="3" t="s">
        <x:v>318</x:v>
      </x:c>
      <x:c r="V220" s="3" t="s">
        <x:v>318</x:v>
      </x:c>
      <x:c r="W220" s="3" t="n">
        <x:v>0</x:v>
      </x:c>
      <x:c r="X220" s="3" t="n">
        <x:f aca="0">IF(ISNUMBER(W220),W220*3.412142,"")</x:f>
        <x:v>0</x:v>
      </x:c>
      <x:c r="Y220" s="3" t="s">
        <x:v>319</x:v>
      </x:c>
      <x:c r="Z220" s="4" t="s">
        <x:v>947</x:v>
      </x:c>
      <x:c r="AA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</x:row>
    <x:row r="221" s="2" customFormat="1" ht="15.75" hidden="0" customHeight="1">
      <x:c r="A221" s="1" t="s">
        <x:v>309</x:v>
      </x:c>
      <x:c r="B221" s="1" t="s">
        <x:v>27</x:v>
      </x:c>
      <x:c r="C221" s="1" t="s">
        <x:v>948</x:v>
      </x:c>
      <x:c r="D221" s="1" t="s">
        <x:v>949</x:v>
      </x:c>
      <x:c r="E221" s="1" t="n">
        <x:v>960</x:v>
      </x:c>
      <x:c r="F221" s="1"/>
      <x:c r="G221" s="1"/>
      <x:c r="H221" s="1"/>
      <x:c r="I221" s="1"/>
      <x:c r="J221" s="14" t="s">
        <x:v>312</x:v>
      </x:c>
      <x:c r="K221" s="1" t="s">
        <x:v>896</x:v>
      </x:c>
      <x:c r="L221" s="3" t="s">
        <x:v>950</x:v>
      </x:c>
      <x:c r="M221" s="3"/>
      <x:c r="N221" s="3"/>
      <x:c r="O221" s="3" t="s">
        <x:v>951</x:v>
      </x:c>
      <x:c r="P221" s="3" t="s">
        <x:v>325</x:v>
      </x:c>
      <x:c r="Q221" s="3" t="s">
        <x:v>317</x:v>
      </x:c>
      <x:c r="R221" s="3" t="s">
        <x:v>156</x:v>
      </x:c>
      <x:c r="S221" s="3" t="s">
        <x:v>157</x:v>
      </x:c>
      <x:c r="T221" s="3" t="s">
        <x:v>158</x:v>
      </x:c>
      <x:c r="U221" s="3" t="s">
        <x:v>318</x:v>
      </x:c>
      <x:c r="V221" s="3" t="s">
        <x:v>318</x:v>
      </x:c>
      <x:c r="W221" s="3" t="n">
        <x:v>0</x:v>
      </x:c>
      <x:c r="X221" s="3" t="n">
        <x:f aca="0">IF(ISNUMBER(W221),W221*3.412142,"")</x:f>
        <x:v>0</x:v>
      </x:c>
      <x:c r="Y221" s="3" t="s">
        <x:v>319</x:v>
      </x:c>
      <x:c r="Z221" s="4" t="s">
        <x:v>952</x:v>
      </x:c>
      <x:c r="AA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</x:row>
    <x:row r="222" s="2" customFormat="1" ht="15.75" hidden="0" customHeight="1">
      <x:c r="A222" s="1" t="s">
        <x:v>309</x:v>
      </x:c>
      <x:c r="B222" s="1" t="s">
        <x:v>27</x:v>
      </x:c>
      <x:c r="C222" s="1" t="s">
        <x:v>953</x:v>
      </x:c>
      <x:c r="D222" s="1" t="s">
        <x:v>954</x:v>
      </x:c>
      <x:c r="E222" s="1" t="n">
        <x:v>1360</x:v>
      </x:c>
      <x:c r="F222" s="1"/>
      <x:c r="G222" s="1"/>
      <x:c r="H222" s="1"/>
      <x:c r="I222" s="1"/>
      <x:c r="J222" s="14" t="s">
        <x:v>312</x:v>
      </x:c>
      <x:c r="K222" s="1" t="s">
        <x:v>896</x:v>
      </x:c>
      <x:c r="L222" s="3" t="s">
        <x:v>955</x:v>
      </x:c>
      <x:c r="M222" s="3"/>
      <x:c r="N222" s="3"/>
      <x:c r="O222" s="3" t="s">
        <x:v>956</x:v>
      </x:c>
      <x:c r="P222" s="3" t="s">
        <x:v>957</x:v>
      </x:c>
      <x:c r="Q222" s="3" t="s">
        <x:v>317</x:v>
      </x:c>
      <x:c r="R222" s="3" t="s">
        <x:v>156</x:v>
      </x:c>
      <x:c r="S222" s="3" t="s">
        <x:v>157</x:v>
      </x:c>
      <x:c r="T222" s="3" t="s">
        <x:v>158</x:v>
      </x:c>
      <x:c r="U222" s="3" t="s">
        <x:v>318</x:v>
      </x:c>
      <x:c r="V222" s="3" t="s">
        <x:v>318</x:v>
      </x:c>
      <x:c r="W222" s="3" t="n">
        <x:v>0</x:v>
      </x:c>
      <x:c r="X222" s="3" t="n">
        <x:f aca="0">IF(ISNUMBER(W222),W222*3.412142,"")</x:f>
        <x:v>0</x:v>
      </x:c>
      <x:c r="Y222" s="3" t="s">
        <x:v>319</x:v>
      </x:c>
      <x:c r="Z222" s="4" t="s">
        <x:v>958</x:v>
      </x:c>
      <x:c r="AA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</x:row>
    <x:row r="223" s="2" customFormat="1" ht="15.75" hidden="0" customHeight="1">
      <x:c r="A223" s="1" t="s">
        <x:v>309</x:v>
      </x:c>
      <x:c r="B223" s="1" t="s">
        <x:v>27</x:v>
      </x:c>
      <x:c r="C223" s="1" t="s">
        <x:v>959</x:v>
      </x:c>
      <x:c r="D223" s="1" t="s">
        <x:v>960</x:v>
      </x:c>
      <x:c r="E223" s="1" t="n">
        <x:v>1410</x:v>
      </x:c>
      <x:c r="F223" s="1"/>
      <x:c r="G223" s="1"/>
      <x:c r="H223" s="1"/>
      <x:c r="I223" s="1"/>
      <x:c r="J223" s="14" t="s">
        <x:v>312</x:v>
      </x:c>
      <x:c r="K223" s="1" t="s">
        <x:v>961</x:v>
      </x:c>
      <x:c r="L223" s="3" t="s">
        <x:v>600</x:v>
      </x:c>
      <x:c r="M223" s="3" t="s">
        <x:v>962</x:v>
      </x:c>
      <x:c r="N223" s="3" t="s">
        <x:v>62</x:v>
      </x:c>
      <x:c r="O223" s="3"/>
      <x:c r="P223" s="3" t="s">
        <x:v>963</x:v>
      </x:c>
      <x:c r="Q223" s="3" t="s">
        <x:v>317</x:v>
      </x:c>
      <x:c r="R223" s="3" t="s">
        <x:v>156</x:v>
      </x:c>
      <x:c r="S223" s="3" t="s">
        <x:v>157</x:v>
      </x:c>
      <x:c r="T223" s="3" t="s">
        <x:v>158</x:v>
      </x:c>
      <x:c r="U223" s="3" t="s">
        <x:v>40</x:v>
      </x:c>
      <x:c r="V223" s="3" t="s">
        <x:v>134</x:v>
      </x:c>
      <x:c r="W223" s="3" t="n">
        <x:v>40</x:v>
      </x:c>
      <x:c r="X223" s="3" t="n">
        <x:f aca="0">IF(ISNUMBER(W223),W223*3.412142,"")</x:f>
        <x:v>136.48568</x:v>
      </x:c>
      <x:c r="Y223" s="3" t="s">
        <x:v>42</x:v>
      </x:c>
      <x:c r="Z223" s="4" t="s">
        <x:v>964</x:v>
      </x:c>
      <x:c r="AA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</x:row>
    <x:row r="224" s="2" customFormat="1" ht="15.75" hidden="0" customHeight="1">
      <x:c r="A224" s="1" t="s">
        <x:v>309</x:v>
      </x:c>
      <x:c r="B224" s="1" t="s">
        <x:v>27</x:v>
      </x:c>
      <x:c r="C224" s="1" t="s">
        <x:v>965</x:v>
      </x:c>
      <x:c r="D224" s="1" t="s">
        <x:v>960</x:v>
      </x:c>
      <x:c r="E224" s="1" t="n">
        <x:v>1410</x:v>
      </x:c>
      <x:c r="F224" s="1"/>
      <x:c r="G224" s="1"/>
      <x:c r="H224" s="1"/>
      <x:c r="I224" s="1"/>
      <x:c r="J224" s="14" t="s">
        <x:v>312</x:v>
      </x:c>
      <x:c r="K224" s="1" t="s">
        <x:v>966</x:v>
      </x:c>
      <x:c r="L224" s="3" t="s">
        <x:v>600</x:v>
      </x:c>
      <x:c r="M224" s="3" t="s">
        <x:v>962</x:v>
      </x:c>
      <x:c r="N224" s="3" t="s">
        <x:v>62</x:v>
      </x:c>
      <x:c r="O224" s="3"/>
      <x:c r="P224" s="3" t="s">
        <x:v>963</x:v>
      </x:c>
      <x:c r="Q224" s="3" t="s">
        <x:v>317</x:v>
      </x:c>
      <x:c r="R224" s="3" t="s">
        <x:v>156</x:v>
      </x:c>
      <x:c r="S224" s="3" t="s">
        <x:v>157</x:v>
      </x:c>
      <x:c r="T224" s="3" t="s">
        <x:v>158</x:v>
      </x:c>
      <x:c r="U224" s="3" t="s">
        <x:v>40</x:v>
      </x:c>
      <x:c r="V224" s="3" t="s">
        <x:v>134</x:v>
      </x:c>
      <x:c r="W224" s="3" t="n">
        <x:v>40</x:v>
      </x:c>
      <x:c r="X224" s="3" t="n">
        <x:f aca="0">IF(ISNUMBER(W224),W224*3.412142,"")</x:f>
        <x:v>136.48568</x:v>
      </x:c>
      <x:c r="Y224" s="3" t="s">
        <x:v>42</x:v>
      </x:c>
      <x:c r="Z224" s="4" t="s">
        <x:v>967</x:v>
      </x:c>
      <x:c r="AA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</x:row>
    <x:row r="225" s="2" customFormat="1" ht="15.75" hidden="0" customHeight="1">
      <x:c r="A225" s="1" t="s">
        <x:v>309</x:v>
      </x:c>
      <x:c r="B225" s="1" t="s">
        <x:v>27</x:v>
      </x:c>
      <x:c r="C225" s="1" t="s">
        <x:v>968</x:v>
      </x:c>
      <x:c r="D225" s="1" t="s">
        <x:v>969</x:v>
      </x:c>
      <x:c r="E225" s="1" t="n">
        <x:v>370</x:v>
      </x:c>
      <x:c r="F225" s="1"/>
      <x:c r="G225" s="1"/>
      <x:c r="H225" s="1"/>
      <x:c r="I225" s="1"/>
      <x:c r="J225" s="14" t="s">
        <x:v>312</x:v>
      </x:c>
      <x:c r="K225" s="1" t="s">
        <x:v>909</x:v>
      </x:c>
      <x:c r="L225" s="3" t="s">
        <x:v>970</x:v>
      </x:c>
      <x:c r="M225" s="3" t="s">
        <x:v>292</x:v>
      </x:c>
      <x:c r="N225" s="3" t="s">
        <x:v>971</x:v>
      </x:c>
      <x:c r="O225" s="3"/>
      <x:c r="P225" s="3" t="s">
        <x:v>113</x:v>
      </x:c>
      <x:c r="Q225" s="3" t="s">
        <x:v>317</x:v>
      </x:c>
      <x:c r="R225" s="3" t="s">
        <x:v>156</x:v>
      </x:c>
      <x:c r="S225" s="3" t="s">
        <x:v>157</x:v>
      </x:c>
      <x:c r="T225" s="3" t="s">
        <x:v>158</x:v>
      </x:c>
      <x:c r="U225" s="3" t="s">
        <x:v>318</x:v>
      </x:c>
      <x:c r="V225" s="3" t="s">
        <x:v>318</x:v>
      </x:c>
      <x:c r="W225" s="3" t="n">
        <x:v>0</x:v>
      </x:c>
      <x:c r="X225" s="3" t="n">
        <x:f aca="0">IF(ISNUMBER(W225),W225*3.412142,"")</x:f>
        <x:v>0</x:v>
      </x:c>
      <x:c r="Y225" s="3" t="s">
        <x:v>319</x:v>
      </x:c>
      <x:c r="Z225" s="4" t="s">
        <x:v>972</x:v>
      </x:c>
      <x:c r="AA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</x:row>
    <x:row r="226" s="2" customFormat="1" ht="15.75" hidden="0" customHeight="1">
      <x:c r="A226" s="1" t="s">
        <x:v>309</x:v>
      </x:c>
      <x:c r="B226" s="1" t="s">
        <x:v>27</x:v>
      </x:c>
      <x:c r="C226" s="1" t="s">
        <x:v>973</x:v>
      </x:c>
      <x:c r="D226" s="1" t="s">
        <x:v>974</x:v>
      </x:c>
      <x:c r="E226" s="1" t="n">
        <x:v>520</x:v>
      </x:c>
      <x:c r="F226" s="1"/>
      <x:c r="G226" s="1"/>
      <x:c r="H226" s="1"/>
      <x:c r="I226" s="1"/>
      <x:c r="J226" s="14" t="s">
        <x:v>312</x:v>
      </x:c>
      <x:c r="K226" s="1" t="s">
        <x:v>975</x:v>
      </x:c>
      <x:c r="L226" s="3" t="s">
        <x:v>118</x:v>
      </x:c>
      <x:c r="M226" s="3" t="s">
        <x:v>911</x:v>
      </x:c>
      <x:c r="N226" s="3" t="s">
        <x:v>601</x:v>
      </x:c>
      <x:c r="O226" s="3"/>
      <x:c r="P226" s="3" t="s">
        <x:v>119</x:v>
      </x:c>
      <x:c r="Q226" s="3" t="s">
        <x:v>317</x:v>
      </x:c>
      <x:c r="R226" s="3" t="s">
        <x:v>156</x:v>
      </x:c>
      <x:c r="S226" s="3" t="s">
        <x:v>157</x:v>
      </x:c>
      <x:c r="T226" s="3" t="s">
        <x:v>158</x:v>
      </x:c>
      <x:c r="U226" s="3" t="s">
        <x:v>318</x:v>
      </x:c>
      <x:c r="V226" s="3" t="s">
        <x:v>318</x:v>
      </x:c>
      <x:c r="W226" s="3" t="n">
        <x:v>0</x:v>
      </x:c>
      <x:c r="X226" s="3" t="n">
        <x:f aca="0">IF(ISNUMBER(W226),W226*3.412142,"")</x:f>
        <x:v>0</x:v>
      </x:c>
      <x:c r="Y226" s="3" t="s">
        <x:v>319</x:v>
      </x:c>
      <x:c r="Z226" s="4" t="s">
        <x:v>976</x:v>
      </x:c>
      <x:c r="AA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</x:row>
    <x:row r="227" s="2" customFormat="1" ht="15.75" hidden="0" customHeight="1">
      <x:c r="A227" s="1" t="s">
        <x:v>309</x:v>
      </x:c>
      <x:c r="B227" s="1" t="s">
        <x:v>27</x:v>
      </x:c>
      <x:c r="C227" s="1" t="s">
        <x:v>977</x:v>
      </x:c>
      <x:c r="D227" s="1" t="s">
        <x:v>978</x:v>
      </x:c>
      <x:c r="E227" s="1" t="n">
        <x:v>870</x:v>
      </x:c>
      <x:c r="F227" s="1"/>
      <x:c r="G227" s="1"/>
      <x:c r="H227" s="1"/>
      <x:c r="I227" s="1"/>
      <x:c r="J227" s="14" t="s">
        <x:v>312</x:v>
      </x:c>
      <x:c r="K227" s="1" t="s">
        <x:v>975</x:v>
      </x:c>
      <x:c r="L227" s="3" t="s">
        <x:v>64</x:v>
      </x:c>
      <x:c r="M227" s="3" t="s">
        <x:v>123</x:v>
      </x:c>
      <x:c r="N227" s="3" t="s">
        <x:v>979</x:v>
      </x:c>
      <x:c r="O227" s="3"/>
      <x:c r="P227" s="3" t="s">
        <x:v>897</x:v>
      </x:c>
      <x:c r="Q227" s="3" t="s">
        <x:v>317</x:v>
      </x:c>
      <x:c r="R227" s="3" t="s">
        <x:v>156</x:v>
      </x:c>
      <x:c r="S227" s="3" t="s">
        <x:v>157</x:v>
      </x:c>
      <x:c r="T227" s="3" t="s">
        <x:v>158</x:v>
      </x:c>
      <x:c r="U227" s="3" t="s">
        <x:v>318</x:v>
      </x:c>
      <x:c r="V227" s="3" t="s">
        <x:v>318</x:v>
      </x:c>
      <x:c r="W227" s="3" t="n">
        <x:v>0</x:v>
      </x:c>
      <x:c r="X227" s="3" t="n">
        <x:f aca="0">IF(ISNUMBER(W227),W227*3.412142,"")</x:f>
        <x:v>0</x:v>
      </x:c>
      <x:c r="Y227" s="3" t="s">
        <x:v>319</x:v>
      </x:c>
      <x:c r="Z227" s="4" t="s">
        <x:v>980</x:v>
      </x:c>
      <x:c r="AA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</x:row>
    <x:row r="228" s="2" customFormat="1" ht="15.75" hidden="0" customHeight="1">
      <x:c r="A228" s="1" t="s">
        <x:v>981</x:v>
      </x:c>
      <x:c r="B228" s="1" t="s">
        <x:v>27</x:v>
      </x:c>
      <x:c r="C228" s="1" t="s">
        <x:v>982</x:v>
      </x:c>
      <x:c r="D228" s="1" t="s">
        <x:v>983</x:v>
      </x:c>
      <x:c r="E228" s="1" t="n">
        <x:v>640</x:v>
      </x:c>
      <x:c r="F228" s="1"/>
      <x:c r="G228" s="1"/>
      <x:c r="H228" s="1"/>
      <x:c r="I228" s="1"/>
      <x:c r="J228" s="17" t="s">
        <x:v>984</x:v>
      </x:c>
      <x:c r="K228" s="1" t="s">
        <x:v>896</x:v>
      </x:c>
      <x:c r="L228" s="3" t="s">
        <x:v>118</x:v>
      </x:c>
      <x:c r="M228" s="3" t="s">
        <x:v>985</x:v>
      </x:c>
      <x:c r="N228" s="3" t="s">
        <x:v>985</x:v>
      </x:c>
      <x:c r="O228" s="3"/>
      <x:c r="P228" s="3" t="s">
        <x:v>94</x:v>
      </x:c>
      <x:c r="Q228" s="3" t="s">
        <x:v>317</x:v>
      </x:c>
      <x:c r="R228" s="3" t="s">
        <x:v>156</x:v>
      </x:c>
      <x:c r="S228" s="3" t="s">
        <x:v>157</x:v>
      </x:c>
      <x:c r="T228" s="3" t="s">
        <x:v>158</x:v>
      </x:c>
      <x:c r="U228" s="3" t="s">
        <x:v>318</x:v>
      </x:c>
      <x:c r="V228" s="3" t="s">
        <x:v>318</x:v>
      </x:c>
      <x:c r="W228" s="3" t="n">
        <x:v>0</x:v>
      </x:c>
      <x:c r="X228" s="3" t="n">
        <x:f aca="0">IF(ISNUMBER(W228),W228*3.412142,"")</x:f>
        <x:v>0</x:v>
      </x:c>
      <x:c r="Y228" s="3" t="s">
        <x:v>319</x:v>
      </x:c>
      <x:c r="Z228" s="4" t="s">
        <x:v>986</x:v>
      </x:c>
      <x:c r="AA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</x:row>
    <x:row r="229" s="2" customFormat="1" ht="15.75" hidden="0" customHeight="1">
      <x:c r="A229" s="1" t="s">
        <x:v>126</x:v>
      </x:c>
      <x:c r="B229" s="1" t="s">
        <x:v>27</x:v>
      </x:c>
      <x:c r="C229" s="1" t="s">
        <x:v>987</x:v>
      </x:c>
      <x:c r="D229" s="1" t="s">
        <x:v>988</x:v>
      </x:c>
      <x:c r="E229" s="1" t="n">
        <x:v>920</x:v>
      </x:c>
      <x:c r="F229" s="1"/>
      <x:c r="G229" s="1"/>
      <x:c r="H229" s="1"/>
      <x:c r="I229" s="1"/>
      <x:c r="J229" s="7" t="s">
        <x:v>129</x:v>
      </x:c>
      <x:c r="K229" s="1" t="s">
        <x:v>989</x:v>
      </x:c>
      <x:c r="L229" s="3" t="s">
        <x:v>46</x:v>
      </x:c>
      <x:c r="M229" s="3" t="s">
        <x:v>131</x:v>
      </x:c>
      <x:c r="N229" s="3" t="s">
        <x:v>48</x:v>
      </x:c>
      <x:c r="O229" s="3"/>
      <x:c r="P229" s="3" t="s">
        <x:v>132</x:v>
      </x:c>
      <x:c r="Q229" s="3" t="s">
        <x:v>36</x:v>
      </x:c>
      <x:c r="R229" s="3" t="s">
        <x:v>37</x:v>
      </x:c>
      <x:c r="S229" s="3" t="s">
        <x:v>38</x:v>
      </x:c>
      <x:c r="T229" s="3" t="s">
        <x:v>39</x:v>
      </x:c>
      <x:c r="U229" s="3" t="s">
        <x:v>133</x:v>
      </x:c>
      <x:c r="V229" s="3" t="s">
        <x:v>134</x:v>
      </x:c>
      <x:c r="W229" s="3" t="n">
        <x:v>12</x:v>
      </x:c>
      <x:c r="X229" s="3" t="n">
        <x:f aca="0">IF(ISNUMBER(W229),W229*3.412142,"")</x:f>
        <x:v>40.945704</x:v>
      </x:c>
      <x:c r="Y229" s="3" t="s">
        <x:v>135</x:v>
      </x:c>
      <x:c r="Z229" s="4"/>
      <x:c r="AA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</x:row>
    <x:row r="230" s="2" customFormat="1" ht="15.75" hidden="0" customHeight="1">
      <x:c r="A230" s="1" t="s">
        <x:v>126</x:v>
      </x:c>
      <x:c r="B230" s="1" t="s">
        <x:v>27</x:v>
      </x:c>
      <x:c r="C230" s="1" t="s">
        <x:v>990</x:v>
      </x:c>
      <x:c r="D230" s="1" t="s">
        <x:v>991</x:v>
      </x:c>
      <x:c r="E230" s="1" t="n">
        <x:v>920</x:v>
      </x:c>
      <x:c r="F230" s="1"/>
      <x:c r="G230" s="1"/>
      <x:c r="H230" s="1"/>
      <x:c r="I230" s="1"/>
      <x:c r="J230" s="7" t="s">
        <x:v>129</x:v>
      </x:c>
      <x:c r="K230" s="1" t="s">
        <x:v>992</x:v>
      </x:c>
      <x:c r="L230" s="3" t="s">
        <x:v>46</x:v>
      </x:c>
      <x:c r="M230" s="3" t="s">
        <x:v>131</x:v>
      </x:c>
      <x:c r="N230" s="3" t="s">
        <x:v>48</x:v>
      </x:c>
      <x:c r="O230" s="3"/>
      <x:c r="P230" s="3" t="s">
        <x:v>132</x:v>
      </x:c>
      <x:c r="Q230" s="3" t="s">
        <x:v>36</x:v>
      </x:c>
      <x:c r="R230" s="3" t="s">
        <x:v>37</x:v>
      </x:c>
      <x:c r="S230" s="3" t="s">
        <x:v>38</x:v>
      </x:c>
      <x:c r="T230" s="3" t="s">
        <x:v>39</x:v>
      </x:c>
      <x:c r="U230" s="3" t="s">
        <x:v>133</x:v>
      </x:c>
      <x:c r="V230" s="3" t="s">
        <x:v>134</x:v>
      </x:c>
      <x:c r="W230" s="3" t="n">
        <x:v>12</x:v>
      </x:c>
      <x:c r="X230" s="3" t="n">
        <x:f aca="0">IF(ISNUMBER(W230),W230*3.412142,"")</x:f>
        <x:v>40.945704</x:v>
      </x:c>
      <x:c r="Y230" s="3" t="s">
        <x:v>135</x:v>
      </x:c>
      <x:c r="Z230" s="4"/>
      <x:c r="AA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</x:row>
    <x:row r="1048537" ht="12.800000190734863" hidden="0" customHeight="1"/>
    <x:row r="1048538" ht="12.800000190734863" hidden="0" customHeight="1"/>
    <x:row r="1048539" ht="12.800000190734863" hidden="0" customHeight="1"/>
    <x:row r="1048540" ht="12.800000190734863" hidden="0" customHeight="1"/>
    <x:row r="1048541" ht="12.800000190734863" hidden="0" customHeight="1"/>
    <x:row r="1048542" ht="12.800000190734863" hidden="0" customHeight="1"/>
    <x:row r="1048543" ht="12.800000190734863" hidden="0" customHeight="1"/>
    <x:row r="1048544" ht="12.800000190734863" hidden="0" customHeight="1"/>
    <x:row r="1048545" ht="12.800000190734863" hidden="0" customHeight="1"/>
    <x:row r="1048546" ht="12.800000190734863" hidden="0" customHeight="1"/>
    <x:row r="1048547" ht="12.800000190734863" hidden="0" customHeight="1"/>
    <x:row r="1048548" ht="12.800000190734863" hidden="0" customHeight="1"/>
    <x:row r="1048549" ht="12.800000190734863" hidden="0" customHeight="1"/>
    <x:row r="1048550" ht="12.800000190734863" hidden="0" customHeight="1"/>
    <x:row r="1048551" ht="12.800000190734863" hidden="0" customHeight="1"/>
    <x:row r="1048552" ht="12.800000190734863" hidden="0" customHeight="1"/>
    <x:row r="1048553" ht="12.800000190734863" hidden="0" customHeight="1"/>
    <x:row r="1048554" ht="12.800000190734863" hidden="0" customHeight="1"/>
    <x:row r="1048555" ht="12.800000190734863" hidden="0" customHeight="1"/>
    <x:row r="1048556" ht="12.800000190734863" hidden="0" customHeight="1"/>
    <x:row r="1048557" ht="12.800000190734863" hidden="0" customHeight="1"/>
    <x:row r="1048558" ht="12.800000190734863" hidden="0" customHeight="1"/>
    <x:row r="1048559" ht="12.800000190734863" hidden="0" customHeight="1"/>
    <x:row r="1048560" ht="12.800000190734863" hidden="0" customHeight="1"/>
    <x:row r="1048561" ht="12.800000190734863" hidden="0" customHeight="1"/>
    <x:row r="1048562" ht="12.800000190734863" hidden="0" customHeight="1"/>
    <x:row r="1048563" ht="12.800000190734863" hidden="0" customHeight="1"/>
    <x:row r="1048564" ht="12.800000190734863" hidden="0" customHeight="1"/>
    <x:row r="1048565" ht="12.800000190734863" hidden="0" customHeight="1"/>
    <x:row r="1048566" ht="12.800000190734863" hidden="0" customHeight="1"/>
    <x:row r="1048567" ht="12.800000190734863" hidden="0" customHeight="1"/>
    <x:row r="1048568" ht="12.800000190734863" hidden="0" customHeight="1"/>
    <x:row r="1048569" ht="12.800000190734863" hidden="0" customHeight="1"/>
    <x:row r="1048570" ht="12.800000190734863" hidden="0" customHeight="1"/>
    <x:row r="1048571" ht="12.800000190734863" hidden="0" customHeight="1"/>
    <x:row r="1048572" ht="12.800000190734863" hidden="0" customHeight="1"/>
    <x:row r="1048573" ht="12.800000190734863" hidden="0" customHeight="1"/>
    <x:row r="1048574" ht="12.800000190734863" hidden="0" customHeight="1"/>
    <x:row r="1048575" ht="12.800000190734863" hidden="0" customHeight="1"/>
    <x:row r="1048576" ht="12.800000190734863" hidden="0" customHeight="1"/>
  </x:sheetData>
  <x:pageMargins left="0.7" right="0.7" top="0.75" bottom="0.75" header="0.3" footer="0.3"/>
</x:worksheet>
</file>