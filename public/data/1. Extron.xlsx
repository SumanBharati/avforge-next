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tron devic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<sst xmlns="http://schemas.openxmlformats.org/spreadsheetml/2006/main" count="3233" uniqueCount="796">
  <si>
    <t xml:space="preserve">Category</t>
  </si>
  <si>
    <t xml:space="preserve">Manufacturer</t>
  </si>
  <si>
    <t xml:space="preserve">Model</t>
  </si>
  <si>
    <t xml:space="preserve">Part</t>
  </si>
  <si>
    <t xml:space="preserve">MSRP</t>
  </si>
  <si>
    <t xml:space="preserve">Cost</t>
  </si>
  <si>
    <t xml:space="preserve">Price</t>
  </si>
  <si>
    <t xml:space="preserve">Margin</t>
  </si>
  <si>
    <t xml:space="preserve">Markup</t>
  </si>
  <si>
    <t xml:space="preserve">Color</t>
  </si>
  <si>
    <t xml:space="preserve">Ports</t>
  </si>
  <si>
    <t xml:space="preserve">Height</t>
  </si>
  <si>
    <t xml:space="preserve">Width</t>
  </si>
  <si>
    <t xml:space="preserve">Depth</t>
  </si>
  <si>
    <t xml:space="preserve">Diameter</t>
  </si>
  <si>
    <t xml:space="preserve">Weight</t>
  </si>
  <si>
    <t xml:space="preserve">Rack Mountable</t>
  </si>
  <si>
    <t xml:space="preserve">Rack Ear Included</t>
  </si>
  <si>
    <t xml:space="preserve">Shelf Requirement</t>
  </si>
  <si>
    <t xml:space="preserve">Rack Units</t>
  </si>
  <si>
    <t xml:space="preserve">Voltage</t>
  </si>
  <si>
    <t xml:space="preserve">Current (Amps)</t>
  </si>
  <si>
    <t xml:space="preserve">Power Consumption</t>
  </si>
  <si>
    <t xml:space="preserve">BTU/hr</t>
  </si>
  <si>
    <t xml:space="preserve">Power Supply Type</t>
  </si>
  <si>
    <t xml:space="preserve">Notes</t>
  </si>
  <si>
    <t xml:space="preserve">Source</t>
  </si>
  <si>
    <t xml:space="preserve">Extron</t>
  </si>
  <si>
    <t xml:space="preserve">SMP 111</t>
  </si>
  <si>
    <t xml:space="preserve">60-1594-01</t>
  </si>
  <si>
    <t xml:space="preserve">#000000</t>
  </si>
  <si>
    <t xml:space="preserve">left:HDMI:HDMI In|left:Captive Screw:Audio Line In|left:USB-A:USB Storage (Front)|left:USB-A:USB Storage (Rear)|left:USB Mini-B:Config|right:HDMI:HDMI Out|right:Captive Screw:RS-232|right:USB-A:Control|right:RJ-45:LAN</t>
  </si>
  <si>
    <t xml:space="preserve">1.66”</t>
  </si>
  <si>
    <t xml:space="preserve">8.68”</t>
  </si>
  <si>
    <t xml:space="preserve">9.5”</t>
  </si>
  <si>
    <t xml:space="preserve">2.5 lb</t>
  </si>
  <si>
    <t xml:space="preserve">Yes — rack shelf mountable</t>
  </si>
  <si>
    <t xml:space="preserve">No — not included</t>
  </si>
  <si>
    <t xml:space="preserve">Yes — required for rack installation</t>
  </si>
  <si>
    <t xml:space="preserve">1</t>
  </si>
  <si>
    <t xml:space="preserve">100–240 VAC, 50/60 Hz</t>
  </si>
  <si>
    <t xml:space="preserve">1.0 A max @ 100 VAC</t>
  </si>
  <si>
    <t xml:space="preserve">Internal AC power supply</t>
  </si>
  <si>
    <t xml:space="preserve">ShareLink Pro 2500</t>
  </si>
  <si>
    <t xml:space="preserve">60-1970-01</t>
  </si>
  <si>
    <t xml:space="preserve">left:RJ-45:Network (AV LAN)|left:RJ-45:Network (Corp LAN)|left:HDMI:HDMI In (Signage)|right:HDMI:HDMI Out 1|right:HDMI:HDMI Out 2|right:USB-B:USB (ConferenceShare)|left:USB-C:Config|right:USB-A:USB 1|right:USB-A:USB 2|left:Captive Screw:Line In|right:Captive Screw:Line Out|right:Captive Screw:COM|right:Captive Screw:IR/Serial|right:Captive Screw:Digital I/O</t>
  </si>
  <si>
    <t xml:space="preserve">1.0”</t>
  </si>
  <si>
    <t xml:space="preserve">8.75”</t>
  </si>
  <si>
    <t xml:space="preserve">6.0”</t>
  </si>
  <si>
    <t xml:space="preserve">2.0 lb</t>
  </si>
  <si>
    <t xml:space="preserve">Switcher</t>
  </si>
  <si>
    <t xml:space="preserve">DTP3 CrossPoint 42 USB</t>
  </si>
  <si>
    <t xml:space="preserve">60-1925-02</t>
  </si>
  <si>
    <t xml:space="preserve">left:USB-C:USB-C In 1 (100W PD)|left:HDMI:HDMI In 2|left:HDMI:HDMI In 3|left:HDMI:HDMI In 4|left:USB-C:Config|left:USB-A:USB Host 2-3 (10Gbps)|right:HDMI:HDMI/CEC Out 1A|right:RJ-45:DTP3 Out 1B|right:HDMI:HDMI/CEC Out 2|right:USB-A:USB Device 1-2 (10Gbps)|right:USB-A:USB Device 3-4 (USB 2.0)|right:Captive Screw:Audio Out 3|right:RJ-45:LAN</t>
  </si>
  <si>
    <t xml:space="preserve">1.75”</t>
  </si>
  <si>
    <t xml:space="preserve">8.7”</t>
  </si>
  <si>
    <t xml:space="preserve">11.2”</t>
  </si>
  <si>
    <t xml:space="preserve">5.0 lb</t>
  </si>
  <si>
    <t xml:space="preserve">DTP3 CrossPoint 622</t>
  </si>
  <si>
    <t xml:space="preserve">60-1570-01</t>
  </si>
  <si>
    <t xml:space="preserve">left:HDMI:HDMI In 1-4|left:RJ-45:DTP3 In 5-6|left:RJ-45:DTP3 I/O 7-8|left:RJ-45:Dante Primary/PoE|left:RJ-45:Dante Secondary|left:RJ-45:DMP EXP|left:USB-C:USB Audio In/Out|left:Captive Screw:Mic/Line In 1-4|left:Captive Screw:Line In 1-2|left:USB Mini-B:Config|right:RJ-45:DTP3 Out 1A-2A|right:HDMI:HDMI Out 1B-2B|right:Captive Screw:Line Out 1-2|right:Captive Screw:RS-232|right:RJ-45:LAN</t>
  </si>
  <si>
    <t xml:space="preserve">3.5”</t>
  </si>
  <si>
    <t xml:space="preserve">17.5”</t>
  </si>
  <si>
    <t xml:space="preserve">15.0”</t>
  </si>
  <si>
    <t xml:space="preserve">18.0 lb</t>
  </si>
  <si>
    <t xml:space="preserve">Yes — direct rack mount</t>
  </si>
  <si>
    <t xml:space="preserve">Yes — included</t>
  </si>
  <si>
    <t xml:space="preserve">No — shelf not required</t>
  </si>
  <si>
    <t xml:space="preserve">2</t>
  </si>
  <si>
    <t xml:space="preserve">2.5 A max @ 100 VAC</t>
  </si>
  <si>
    <t xml:space="preserve">DTP3 CrossPoint 642</t>
  </si>
  <si>
    <t xml:space="preserve">60-1661-01</t>
  </si>
  <si>
    <t xml:space="preserve">left:HDMI:HDMI In 1-4|left:RJ-45:DTP3 In 5-6|left:RJ-45:DTP3 I/O 7-8|left:RJ-45:Dante Primary/PoE|left:RJ-45:Dante Secondary|left:RJ-45:DMP EXP|left:USB-C:USB Audio In/Out|left:Captive Screw:Mic/Line In 1-4|left:Captive Screw:Line In 1-2|left:USB Mini-B:Config|right:RJ-45:DTP3 Out 1A-2A|right:HDMI:HDMI Out 1B-2B|right:HDMI:HDMI Out 3-4|right:Captive Screw:Line Out 1-2|right:Captive Screw:RS-232|right:RJ-45:LAN</t>
  </si>
  <si>
    <t xml:space="preserve">DTP3 CrossPoint 662</t>
  </si>
  <si>
    <t xml:space="preserve">60-1694-01</t>
  </si>
  <si>
    <t xml:space="preserve">left:HDMI:HDMI In 1-4|left:RJ-45:DTP3 In 5-6|left:RJ-45:DTP3 I/O 7-8|left:RJ-45:Dante Primary/PoE|left:RJ-45:Dante Secondary|left:RJ-45:DMP EXP|left:USB-C:USB Audio In/Out|left:Captive Screw:Mic/Line In 1-4|left:Captive Screw:Line In 1-2|left:USB Mini-B:Config|right:RJ-45:DTP3 Out 1A-2A|right:HDMI:HDMI Out 1B-2B|right:RJ-45:DTP3 Out 3-4|right:HDMI:HDMI Out 5-6|right:Captive Screw:Line Out 1-2|right:Captive Screw:RS-232|right:RJ-45:LAN</t>
  </si>
  <si>
    <t xml:space="preserve">DTP3 CrossPoint 884</t>
  </si>
  <si>
    <t xml:space="preserve">60-1696-01</t>
  </si>
  <si>
    <t xml:space="preserve">left:HDMI:HDMI In 1-4|left:RJ-45:DTP3 In 5-6|left:HDMI:HDMI In 7-8|left:RJ-45:DTP3 I/O 9-12|left:RJ-45:Dante Primary/PoE|left:RJ-45:Dante Secondary|left:RJ-45:DMP EXP|left:USB-C:USB Audio In/Out|left:Captive Screw:Mic/Line In 1-4|left:Captive Screw:Line In 1-2|left:USB Mini-B:Config|right:RJ-45:DTP3 Out 1A-2A|right:HDMI:HDMI Out 1B-2B|right:RJ-45:DTP3 Out 3A-4A|right:HDMI:HDMI Out 3B-4B|right:RJ-45:DTP3 Out 5A-6A|right:HDMI:HDMI Out 5B-6B|right:HDMI:HDMI Out 7-8|right:Captive Screw:Line Out 1-2|right:Captive Screw:RS-232|right:RJ-45:LAN</t>
  </si>
  <si>
    <t xml:space="preserve">4.0 A max @ 100 VAC</t>
  </si>
  <si>
    <t xml:space="preserve">DTP CrossPoint 84 4K</t>
  </si>
  <si>
    <t xml:space="preserve">60-1515-01</t>
  </si>
  <si>
    <t xml:space="preserve">left:HDMI:HDMI In 1-6|left:RJ-45:DTP In 7-8|left:Captive Screw:RS-232/IR In 7-8|left:Captive Screw:Audio In 1-6|left:Captive Screw:Mic/Line In 1-4|left:USB Mini-B:Config|right:HDMI:HDMI Out 1-4|right:RJ-45:DTP Out 3B-4B|right:Captive Screw:RS-232/IR Out 3-4|right:USB-A:Host|right:RCA:S/PDIF Out 4|right:Captive Screw:Audio Out 1-4|right:Captive Screw:RS-232|right:RJ-45:LAN|right:RJ-45:EXP</t>
  </si>
  <si>
    <t xml:space="preserve">DTP CrossPoint 108 4K</t>
  </si>
  <si>
    <t xml:space="preserve">60-1381-01</t>
  </si>
  <si>
    <t xml:space="preserve">left:HDMI:HDMI In 1-6|left:RJ-45:DTP In 7-10|left:Captive Screw:RS-232/IR In 7-10|left:Captive Screw:Audio In 1-6|left:Captive Screw:Mic/Line In 1-4|left:USB Mini-B:Config|right:HDMI:HDMI Out 1-6|right:RJ-45:DTP Out 5B-8|right:Captive Screw:RS-232/IR Out 5B-8|right:USB-A:Host|right:RCA:S/PDIF Out 6|right:Captive Screw:Audio Out 1-8|right:Captive Screw:RS-232|right:RJ-45:LAN|right:RJ-45:EXP</t>
  </si>
  <si>
    <t xml:space="preserve">5.25”</t>
  </si>
  <si>
    <t xml:space="preserve">26.0 lb</t>
  </si>
  <si>
    <t xml:space="preserve">3</t>
  </si>
  <si>
    <t xml:space="preserve">XTP II CrossPoint 1600</t>
  </si>
  <si>
    <t xml:space="preserve">60-2031-01</t>
  </si>
  <si>
    <t xml:space="preserve">left:USB Mini-B:Config|left:IEC C14:AC Power|right:DB9:RS-232/422 Remote|right:RJ-45:LAN</t>
  </si>
  <si>
    <t xml:space="preserve">17.0”</t>
  </si>
  <si>
    <t xml:space="preserve">24.0 lb</t>
  </si>
  <si>
    <t xml:space="preserve">XTP II CrossPoint 3200</t>
  </si>
  <si>
    <t xml:space="preserve">60-1981-01</t>
  </si>
  <si>
    <t xml:space="preserve">40.0 lb</t>
  </si>
  <si>
    <t xml:space="preserve">5</t>
  </si>
  <si>
    <t xml:space="preserve">8.0 A max @ 100 VAC</t>
  </si>
  <si>
    <t xml:space="preserve">XTP II CrossPoint 6400</t>
  </si>
  <si>
    <t xml:space="preserve">60-1386-01</t>
  </si>
  <si>
    <t xml:space="preserve">14.0”</t>
  </si>
  <si>
    <t xml:space="preserve">65.0 lb</t>
  </si>
  <si>
    <t xml:space="preserve">8</t>
  </si>
  <si>
    <t xml:space="preserve">12.0 A max @ 100 VAC</t>
  </si>
  <si>
    <t xml:space="preserve">Internal redundant AC power supplies</t>
  </si>
  <si>
    <t xml:space="preserve">6400 frame; input/output cards sold separately.</t>
  </si>
  <si>
    <t xml:space="preserve">IN1808</t>
  </si>
  <si>
    <t xml:space="preserve">60-1615-01</t>
  </si>
  <si>
    <t xml:space="preserve">left:HDMI:HDMI In 1-6|left:RJ-45:DTP2/XTP In 7-8|left:Captive Screw:Aux Audio In|left:Captive Screw:Mic/Line In|left:IEC C14:AC Power|right:HDMI:HDMI Loop Out|right:HDMI:HDMI/CEC Out 1A|right:RJ-45:DTP2/XTP Out 1B|right:Captive Screw:RS-232/IR Over TP|right:Captive Screw:Audio Out 1-4|right:RJ-45:LAN|right:Captive Screw:RS-232 Remote</t>
  </si>
  <si>
    <t xml:space="preserve">12.0”</t>
  </si>
  <si>
    <t xml:space="preserve">8.0 lb</t>
  </si>
  <si>
    <t xml:space="preserve">DTP3 IN2004 DI/DO</t>
  </si>
  <si>
    <t xml:space="preserve">60-1962-03</t>
  </si>
  <si>
    <t xml:space="preserve">left:HDMI:HDMI In 1-4|left:RJ-45:DTP3 In (Input 4 Alternative)|left:Captive Screw:Contact Inputs C1-C7 and G+V|left:Captive Screw:Audio In 1-2|left:USB-C:Config|left:IEC C14:AC Power|right:HDMI:HDMI Out 1A|right:HDMI:HDMI Out 1B Configurable|right:RJ-45:DTP3 Out 1C|right:Captive Screw:Audio Out 1-2|right:Captive Screw:RS-232 Remote|right:RJ-45:LAN</t>
  </si>
  <si>
    <t xml:space="preserve">10.5”</t>
  </si>
  <si>
    <t xml:space="preserve">4.0 lb</t>
  </si>
  <si>
    <t xml:space="preserve">DI/DO variant selected from listed DTP3 input and output ports.</t>
  </si>
  <si>
    <t xml:space="preserve">Distribution Amplifier</t>
  </si>
  <si>
    <t xml:space="preserve">SW2 HD 8K</t>
  </si>
  <si>
    <t xml:space="preserve">60-1985-01</t>
  </si>
  <si>
    <t xml:space="preserve">left:HDMI:HDMI In 1|left:HDMI:HDMI In 2|left:USB-C:Config|left:Captive Screw:12V DC Power|right:HDMI:HDMI/CEC Out|right:Captive Screw:Stereo Audio Out|right:Captive Screw:RS-232 Remote</t>
  </si>
  <si>
    <t xml:space="preserve">4.3”</t>
  </si>
  <si>
    <t xml:space="preserve">1.0 lb</t>
  </si>
  <si>
    <t xml:space="preserve">12 VDC</t>
  </si>
  <si>
    <t xml:space="preserve">1.0 A max</t>
  </si>
  <si>
    <t xml:space="preserve">External DC power supply</t>
  </si>
  <si>
    <t xml:space="preserve">Transmitter</t>
  </si>
  <si>
    <t xml:space="preserve">DTP3 T 202</t>
  </si>
  <si>
    <t xml:space="preserve">60-1869-62</t>
  </si>
  <si>
    <t xml:space="preserve">left:HDMI:HDMI In|left:USB-C:Config|left:Captive Screw:12V DC Power|right:HDMI:HDMI Loop Out|right:RJ-45:DTP3 Out|right:Captive Screw:RS-232 Over TP</t>
  </si>
  <si>
    <t xml:space="preserve">External DC or remote DTP/XTP power</t>
  </si>
  <si>
    <t xml:space="preserve">Current 2026 SKU selected; legacy SKU was 60-1869-52.</t>
  </si>
  <si>
    <t xml:space="preserve">Receiver</t>
  </si>
  <si>
    <t xml:space="preserve">DTP3 R 201</t>
  </si>
  <si>
    <t xml:space="preserve">60-1869-63</t>
  </si>
  <si>
    <t xml:space="preserve">left:RJ-45:DTP3 In|left:USB-C:Config|left:Captive Screw:12V DC Power|right:HDMI:HDMI Out|right:Captive Screw:RS-232 Over DTP3|right:Captive Screw:Stereo Audio Out</t>
  </si>
  <si>
    <t xml:space="preserve">Current 2026 SKU selected; legacy SKU was 60-1869-53.</t>
  </si>
  <si>
    <t xml:space="preserve">DTP3 R 201 D, Black</t>
  </si>
  <si>
    <t xml:space="preserve">60-2072-52</t>
  </si>
  <si>
    <t xml:space="preserve">left:RJ-45:DTP3 In|left:USB-C:Config|left:Captive Screw:12V DC Power|right:HDMI:HDMI Out|right:Captive Screw:RS-232 Over DTP</t>
  </si>
  <si>
    <t xml:space="preserve">4.5”</t>
  </si>
  <si>
    <t xml:space="preserve">2.8”</t>
  </si>
  <si>
    <t xml:space="preserve">2.0”</t>
  </si>
  <si>
    <t xml:space="preserve">0.8 lb</t>
  </si>
  <si>
    <t xml:space="preserve">No — wallplate/architectural device</t>
  </si>
  <si>
    <t xml:space="preserve">N/A — not independently rack mounted</t>
  </si>
  <si>
    <t xml:space="preserve">N/A — not rack mounted</t>
  </si>
  <si>
    <t xml:space="preserve">NA</t>
  </si>
  <si>
    <t xml:space="preserve">Black wallplate selected; white is 60-2072-53.</t>
  </si>
  <si>
    <t xml:space="preserve">DTP3 T 301</t>
  </si>
  <si>
    <t xml:space="preserve">60-1773-52</t>
  </si>
  <si>
    <t xml:space="preserve">left:HDMI:HDMI In|left:USB-A:USB Host|left:Captive Screw:Analog Audio In|right:HDMI:HDMI Loop|right:RJ-45:DTP3 Out|right:Captive Screw:RS-232</t>
  </si>
  <si>
    <t xml:space="preserve">DTP3 R 301</t>
  </si>
  <si>
    <t xml:space="preserve">60-1773-53</t>
  </si>
  <si>
    <t xml:space="preserve">left:RJ-45:DTP3 In|left:Captive Screw:RS-232|right:HDMI:HDMI Out|right:USB-A:USB HID 1|right:USB-A:USB HID 2|right:USB-A:USB 2.0 3|right:USB-A:USB 2.0 4|right:Captive Screw:Audio Out (L/R)</t>
  </si>
  <si>
    <t xml:space="preserve">DTP3 T 331</t>
  </si>
  <si>
    <t xml:space="preserve">60-2092-52</t>
  </si>
  <si>
    <t xml:space="preserve">left:HDMI:HDMI In|left:USB-B:USB 2.0 Host|right:RJ-45:DTP3 Out|right:Captive Screw:RS-232|right:HDMI:HDMI Loop</t>
  </si>
  <si>
    <t xml:space="preserve">DTP3 R 331</t>
  </si>
  <si>
    <t xml:space="preserve">60-2092-53</t>
  </si>
  <si>
    <t xml:space="preserve">left:RJ-45:DTP3 In|left:Captive Screw:RS-232|right:HDMI:HDMI Out|right:USB-A:USB 2.0 Device 1|right:USB-A:USB 2.0 Device 2|right:USB-A:USB 2.0 Device 3|right:USB-A:USB 2.0 Device 4|right:Captive Screw:Audio Out (L/R)</t>
  </si>
  <si>
    <t xml:space="preserve">DTP3 T 211</t>
  </si>
  <si>
    <t xml:space="preserve">60-2070-52</t>
  </si>
  <si>
    <t xml:space="preserve">left:USB-C:USB-C In (100W PD)|left:HDMI:HDMI Loop Out|right:RJ-45:DTP3 Out|right:Captive Screw:RS-232</t>
  </si>
  <si>
    <t xml:space="preserve">AVoIP</t>
  </si>
  <si>
    <t xml:space="preserve">NAV E 101</t>
  </si>
  <si>
    <t xml:space="preserve">60-1525-12</t>
  </si>
  <si>
    <t xml:space="preserve">left:HDMI:HDMI In (4K60 4:4:4)|left:HDMI:HDMI Loop Thru|left:Captive Screw:Analog Audio (L/R)|left:Captive Screw:Contact Closure|left:Captive Screw:RS-232|left:Captive Screw:IR|right:RJ-45:1G IP (PURE3)</t>
  </si>
  <si>
    <t xml:space="preserve">44–57 VDC</t>
  </si>
  <si>
    <t xml:space="preserve">0.60 A max</t>
  </si>
  <si>
    <t xml:space="preserve">PoE+ or external DC power supply</t>
  </si>
  <si>
    <t xml:space="preserve">NAV E 121</t>
  </si>
  <si>
    <t xml:space="preserve">60-2040-01</t>
  </si>
  <si>
    <t xml:space="preserve">left:HDMI:HDMI In (4K60 4:4:4)|left:HDMI:HDMI Loop Out|left:Captive Screw:RS-232|right:RJ-45:1G IP (PURE3)</t>
  </si>
  <si>
    <t xml:space="preserve">NAV E 222</t>
  </si>
  <si>
    <t xml:space="preserve">60-2069-01</t>
  </si>
  <si>
    <t xml:space="preserve">left:USB-C:USB-C In (Input 1)|left:HDMI:HDMI In (Input 2)|right:HDMI:HDMI Out|right:Captive Screw:RS-232|right:Captive Screw:IR|right:Captive Screw:Digital I/O|right:RJ-45:1G IP (PURE3)</t>
  </si>
  <si>
    <t xml:space="preserve">NAV E 111 DTP3</t>
  </si>
  <si>
    <t xml:space="preserve">60-1525-16</t>
  </si>
  <si>
    <t xml:space="preserve">left:RJ-45:DTP3/DTP In (CAT6A)|right:HDMI:HDMI Out|right:RJ-45:1G IP (PURE3)</t>
  </si>
  <si>
    <t xml:space="preserve">NAV 10E 101</t>
  </si>
  <si>
    <t xml:space="preserve">60-1572-15</t>
  </si>
  <si>
    <t xml:space="preserve">left:HDMI:HDMI In (4K60 4:4:4)|left:HDMI:HDMI Loop Thru|left:Captive Screw:Analog Audio (L/R)|left:Captive Screw:Contact Closure|left:Captive Screw:RS-232|left:Captive Screw:IR|right:LC Fiber:10G IP</t>
  </si>
  <si>
    <t xml:space="preserve">Multimode fiber variant selected; singlemode is 60-1572-16.</t>
  </si>
  <si>
    <t xml:space="preserve">NAV SD 101</t>
  </si>
  <si>
    <t xml:space="preserve">60-1525-14</t>
  </si>
  <si>
    <t xml:space="preserve">left:RJ-45:1G IP (PURE3)|right:HDMI:HDMI Scaled Out|right:Captive Screw:Analog Audio (L/R)|right:Captive Screw:RS-232|right:Captive Screw:IR</t>
  </si>
  <si>
    <t xml:space="preserve">NAV SD 121</t>
  </si>
  <si>
    <t xml:space="preserve">60-2040-02</t>
  </si>
  <si>
    <t xml:space="preserve">left:RJ-45:1G IP (PURE3)|right:HDMI:HDMI Scaled Out|right:Captive Screw:RS-232|right:Captive Screw:IR|right:Captive Screw:Digital I/O</t>
  </si>
  <si>
    <t xml:space="preserve">NAV SD 501</t>
  </si>
  <si>
    <t xml:space="preserve">60-1525-03</t>
  </si>
  <si>
    <t xml:space="preserve">left:RJ-45:1G IP (PURE3)|right:HDMI:HDMI Out|right:Captive Screw:Analog Audio (L/R)|right:Captive Screw:RS-232|right:Captive Screw:IR|right:USB-C:USB 2.0|right:RJ-45:Ethernet Pass (EXT)</t>
  </si>
  <si>
    <t xml:space="preserve">NAVigator</t>
  </si>
  <si>
    <t xml:space="preserve">60-1534-01</t>
  </si>
  <si>
    <t xml:space="preserve">left:RJ-45:OOB (Out-of-Band)|left:RJ-45:NAV/PoE|left:USB Mini-B:Config</t>
  </si>
  <si>
    <t xml:space="preserve">3.0 lb</t>
  </si>
  <si>
    <t xml:space="preserve">DSP</t>
  </si>
  <si>
    <t xml:space="preserve">DMP 64 Plus C</t>
  </si>
  <si>
    <t xml:space="preserve">60-1823-01</t>
  </si>
  <si>
    <t xml:space="preserve">left:Captive Screw:Mic/Line In (6ch AEC)|left:Captive Screw:ACP (I/O)|left:Captive Screw:RS-232 (Remote)|left:USB-B:USB Audio|right:Captive Screw:Line Out (4ch)|right:RJ-45:LAN|right:RJ-45:DMP EXP Port</t>
  </si>
  <si>
    <t xml:space="preserve">DMP 64 Plus C AT</t>
  </si>
  <si>
    <t xml:space="preserve">60-1823-10</t>
  </si>
  <si>
    <t xml:space="preserve">left:Captive Screw:Mic/Line In (6ch AEC)|left:RJ-45:Dante Primary (PoE+)|left:RJ-45:Dante Secondary|left:Captive Screw:ACP (I/O)|left:Captive Screw:RS-232 (Remote)|left:USB-B:USB Audio|right:Captive Screw:Line Out (4ch)|right:RJ-45:LAN|right:RJ-45:DMP EXP Port</t>
  </si>
  <si>
    <t xml:space="preserve">DMP 128 Plus C</t>
  </si>
  <si>
    <t xml:space="preserve">60-1511-01</t>
  </si>
  <si>
    <t xml:space="preserve">left:Captive Screw:Mic/Line In (12ch)|left:Captive Screw:ACP (I/O)|left:Captive Screw:RS-232 (Remote)|left:USB-B:USB Audio (4ch)|right:Captive Screw:Line Out (8ch)|right:RJ-45:LAN|right:RJ-45:DMP EXP Port</t>
  </si>
  <si>
    <t xml:space="preserve">DMP 128 Plus AT</t>
  </si>
  <si>
    <t xml:space="preserve">60-1511-10</t>
  </si>
  <si>
    <t xml:space="preserve">left:Captive Screw:Mic/Line In (12ch 8AEC)|left:RJ-45:Dante Secondary 1|left:RJ-45:Dante Secondary 2|left:RJ-45:Dante Primary 1|left:RJ-45:Dante Primary 2|left:Captive Screw:ACP (I/O)|left:Captive Screw:RS-232 (Remote)|left:USB-B:USB Audio (4ch)|right:Captive Screw:Line Out (8ch)|right:RJ-45:LAN|right:RJ-45:DMP EXP Port</t>
  </si>
  <si>
    <t xml:space="preserve">DMP 128 Plus C AT</t>
  </si>
  <si>
    <t xml:space="preserve">60-1512-10</t>
  </si>
  <si>
    <t xml:space="preserve">Amplifier</t>
  </si>
  <si>
    <t xml:space="preserve">XPA Ultra</t>
  </si>
  <si>
    <t xml:space="preserve">60-1761-02</t>
  </si>
  <si>
    <t xml:space="preserve">left:Captive Screw:Audio In 1|left:Captive Screw:Audio In 2|right:Captive Screw:Spkr Out 1 70V|right:Captive Screw:Spkr Out 2 70V </t>
  </si>
  <si>
    <t xml:space="preserve">10.5 lb</t>
  </si>
  <si>
    <t xml:space="preserve">1.5 A max @ 100 VAC</t>
  </si>
  <si>
    <t xml:space="preserve">Mapped by 2-channel 70V output to XPA U 1002-70V.</t>
  </si>
  <si>
    <t xml:space="preserve">60-1760-02</t>
  </si>
  <si>
    <t xml:space="preserve">left:Captive Screw:Audio In 1|left:Captive Screw:Audio In 2|left:Captive Screw:Audio In 3|left:Captive Screw:Audio In 4|right:Captive Screw:Spkr Out 1 70V|right:Captive Screw:Spkr Out 2 70V|right:Captive Screw:Spkr Out 3 70V|right:Captive Screw:Spkr Out 4 70V </t>
  </si>
  <si>
    <t xml:space="preserve">Mapped by 4-channel 70V output to XPA U 1004-70V.</t>
  </si>
  <si>
    <t xml:space="preserve">NetPA Ultra</t>
  </si>
  <si>
    <t xml:space="preserve">60-1766-02</t>
  </si>
  <si>
    <t xml:space="preserve">left:Captive Screw:Mic/Line In 1|left:Captive Screw:Mic/Line In 2|left:Captive Screw:Mic/Line In 3|left:Captive Screw:Mic/Line In 4|right:Captive Screw:Line Out 1|right:Captive Screw:Line Out 2|right:Captive Screw:Line Out 3|right:Captive Screw:Line Out 4|right:Captive Screw:Spkr Out 1 70V|right:Captive Screw:Spkr Out 2 70V|right:Captive Screw:Spkr Out 3 70V|right:Captive Screw:Spkr Out 4 70V|left:RJ45:Dante </t>
  </si>
  <si>
    <t xml:space="preserve">Mapped by 4-channel Dante/70V output to NetPA U 1004-70V.</t>
  </si>
  <si>
    <t xml:space="preserve">60-2027-01</t>
  </si>
  <si>
    <t xml:space="preserve">left:Captive Screw:Line In 1|left:Captive Screw:Line In 2|left:Captive Screw:Line In 3|left:Captive Screw:Line In 4|left:Captive Screw:Line In 5|left:Captive Screw:Line In 6|left:Captive Screw:Line In 7|left:Captive Screw:Line In 8|right:Captive Screw:Line Out 1|right:Captive Screw:Line Out 2|right:Captive Screw:Line Out 3|right:Captive Screw:Line Out 4|right:Captive Screw:Line Out 5|right:Captive Screw:Line Out 6|right:Captive Screw:Line Out 7|right:Captive Screw:Line Out 8|right:Captive Screw:Spkr Out 1|right:Captive Screw:Spkr Out 2|right:Captive Screw:Spkr Out 3|right:Captive Screw:Spkr Out 4|right:Captive Screw:Spkr Out 5|right:Captive Screw:Spkr Out 6|right:Captive Screw:Spkr Out 7|right:Captive Screw:Spkr Out 8|left:RJ45:Dante 1|left:RJ45:Dante 2 </t>
  </si>
  <si>
    <t xml:space="preserve">Mapped by 8-channel configurable output to NetPA U 2008 FX.</t>
  </si>
  <si>
    <t xml:space="preserve">NetPA Ultra FX</t>
  </si>
  <si>
    <t xml:space="preserve">60-2028-01</t>
  </si>
  <si>
    <t xml:space="preserve">left:Captive Screw:Line In 1|left:Captive Screw:Line In 2|left:Captive Screw:Line In 3|left:Captive Screw:Line In 4|right:Captive Screw:Line Out 1|right:Captive Screw:Line Out 2|right:Captive Screw:Line Out 3|right:Captive Screw:Line Out 4|right:Captive Screw:Spkr Out 1|right:Captive Screw:Spkr Out 2|right:Captive Screw:Spkr Out 3|right:Captive Screw:Spkr Out 4|left:RJ45:Dante 1|left:RJ45:Dante 2</t>
  </si>
  <si>
    <t xml:space="preserve">Mapped by 4-channel shared-output architecture to NetPA U 2004 FX; 8-channel model is 60-2027-01.</t>
  </si>
  <si>
    <t xml:space="preserve">NetPA 204 POE</t>
  </si>
  <si>
    <t xml:space="preserve">60-2047-01</t>
  </si>
  <si>
    <t xml:space="preserve">left:RJ45:Dante/PoE++|right:2-Pin Connector:Spkr Out 1 4/8ohm|right:2-Pin Connector:Spkr Out 2 4/8ohm|right:2-Pin Connector:Spkr Out 3 4/8ohm|right:2-Pin Connector:Spkr Out 4 4/8ohm</t>
  </si>
  <si>
    <t xml:space="preserve">Control</t>
  </si>
  <si>
    <t xml:space="preserve">IPCP Pro 250 xi</t>
  </si>
  <si>
    <t xml:space="preserve">60-1911-01</t>
  </si>
  <si>
    <t xml:space="preserve">right:Captive Screw:COM 1|right:Captive Screw:COM 2|left:Captive Screw:Digital I/O 1|left:Captive Screw:Digital I/O 2|left:Captive Screw:Digital I/O 3|left:Captive Screw:Digital I/O 4|right:Captive Screw:Relay 1|right:Captive Screw:Relay 2|right:Captive Screw:eBUS|right:Captive Screw:IR/S|left:RJ45:LAN</t>
  </si>
  <si>
    <t xml:space="preserve">Base processor selected; LinkLicense UI-upgrade bundle is 60-1911-01A.</t>
  </si>
  <si>
    <t xml:space="preserve">IPCP Pro 550 xi</t>
  </si>
  <si>
    <t xml:space="preserve">60-1913-01A</t>
  </si>
  <si>
    <t xml:space="preserve">right:Captive Screw:Switched 12VDC Out 1|right:Captive Screw:Switched 12VDC Out 2|right:Captive Screw:Switched 12VDC Out 3|right:Captive Screw:Switched 12VDC Out 4|right:Captive Screw:COM 1|right:Captive Screw:COM 2|right:Captive Screw:COM 3|right:Captive Screw:COM 4|right:Captive Screw:COM 5|right:Captive Screw:COM 6|right:Captive Screw:COM 7|right:Captive Screw:COM 8|right:Captive Screw:IR/Serial 1|right:Captive Screw:IR/Serial 2|right:Captive Screw:IR/Serial 3|right:Captive Screw:IR/Serial 4|right:Captive Screw:IR/Serial 5|right:Captive Screw:IR/Serial 6|right:Captive Screw:IR/Serial 7|right:Captive Screw:IR/Serial 8|right:Captive Screw:Relay 1|right:Captive Screw:Relay 2|right:Captive Screw:Relay 3|right:Captive Screw:Relay 4|right:Captive Screw:Relay 5|right:Captive Screw:Relay 6|right:Captive Screw:Relay 7|right:Captive Screw:Relay 8|left:Captive Screw:Flex I/O 1|left:Captive Screw:Flex I/O 2|left:Captive Screw:Flex I/O 3|left:Captive Screw:Flex I/O 4|right:Captive Screw:eBUS|left:RJ45:LAN</t>
  </si>
  <si>
    <t xml:space="preserve">0.8 A max</t>
  </si>
  <si>
    <t xml:space="preserve">Public SKU includes the LinkLicense for User Interfaces upgrade.</t>
  </si>
  <si>
    <t xml:space="preserve">TLP Pro 725T</t>
  </si>
  <si>
    <t xml:space="preserve">60-1562-02</t>
  </si>
  <si>
    <t xml:space="preserve">left:RJ-45:LAN / PoE|left:USB:USB</t>
  </si>
  <si>
    <t xml:space="preserve">5.4”</t>
  </si>
  <si>
    <t xml:space="preserve">7.2”</t>
  </si>
  <si>
    <t xml:space="preserve">4.8”</t>
  </si>
  <si>
    <t xml:space="preserve">No — tabletop/wall device</t>
  </si>
  <si>
    <t xml:space="preserve">0.35 A max</t>
  </si>
  <si>
    <t xml:space="preserve">PoE (IEEE 802.3af)</t>
  </si>
  <si>
    <t xml:space="preserve">Legacy black tabletop model. Legacy public 2024 MSRP.</t>
  </si>
  <si>
    <t xml:space="preserve">TLP Pro 1025T</t>
  </si>
  <si>
    <t xml:space="preserve">60-1565-02</t>
  </si>
  <si>
    <t xml:space="preserve">left:RJ-45:LAN / PoE+|left:USB:USB</t>
  </si>
  <si>
    <t xml:space="preserve">10.3”</t>
  </si>
  <si>
    <t xml:space="preserve">3.5 lb</t>
  </si>
  <si>
    <t xml:space="preserve">PoE+ (IEEE 802.3at)</t>
  </si>
  <si>
    <t xml:space="preserve">Black tabletop model selected; white is 60-1565-03. Legacy public 2024 MSRP.</t>
  </si>
  <si>
    <t xml:space="preserve">TLP Pro 1530T</t>
  </si>
  <si>
    <t xml:space="preserve">60-2001-02</t>
  </si>
  <si>
    <t xml:space="preserve">left:RJ-45:LAN / PoE++|left:USB:USB</t>
  </si>
  <si>
    <t xml:space="preserve">10.1”</t>
  </si>
  <si>
    <t xml:space="preserve">6.8”</t>
  </si>
  <si>
    <t xml:space="preserve">6.5 lb</t>
  </si>
  <si>
    <t xml:space="preserve">0.75 A max</t>
  </si>
  <si>
    <t xml:space="preserve">PoE++ / external 12 VDC</t>
  </si>
  <si>
    <t xml:space="preserve">No 1530T SKU found; mapped to current TLP Pro 1535T black.</t>
  </si>
  <si>
    <t xml:space="preserve">TLS 525T</t>
  </si>
  <si>
    <t xml:space="preserve">60-1559-02</t>
  </si>
  <si>
    <t xml:space="preserve">4.2”</t>
  </si>
  <si>
    <t xml:space="preserve">6.2”</t>
  </si>
  <si>
    <t xml:space="preserve">1.5 lb</t>
  </si>
  <si>
    <t xml:space="preserve">TLS appears to be a typo; mapped to legacy TLP Pro 525T black. Legacy public 2024 MSRP.</t>
  </si>
  <si>
    <t xml:space="preserve">NBP 200</t>
  </si>
  <si>
    <t xml:space="preserve">60-1795-01</t>
  </si>
  <si>
    <t xml:space="preserve">left:RJ-45:LAN / PoE</t>
  </si>
  <si>
    <t xml:space="preserve">4.6”</t>
  </si>
  <si>
    <t xml:space="preserve">1.7”</t>
  </si>
  <si>
    <t xml:space="preserve">0.7 lb</t>
  </si>
  <si>
    <t xml:space="preserve">No — architectural control panel</t>
  </si>
  <si>
    <t xml:space="preserve">0.30 A max</t>
  </si>
  <si>
    <t xml:space="preserve">Speaker</t>
  </si>
  <si>
    <t xml:space="preserve">FF 220T</t>
  </si>
  <si>
    <t xml:space="preserve">42-141-03</t>
  </si>
  <si>
    <t xml:space="preserve">left:Captive Screw:70V Input</t>
  </si>
  <si>
    <t xml:space="preserve">23.7”</t>
  </si>
  <si>
    <t xml:space="preserve">3.25”</t>
  </si>
  <si>
    <t xml:space="preserve">16.0 lb</t>
  </si>
  <si>
    <t xml:space="preserve">No — loudspeaker/enclosure</t>
  </si>
  <si>
    <t xml:space="preserve">N/A</t>
  </si>
  <si>
    <t xml:space="preserve">Passive device — no power supply</t>
  </si>
  <si>
    <t xml:space="preserve">2 ft × 2 ft enclosure selected; 600 mm × 600 mm version is 42-141-23.</t>
  </si>
  <si>
    <t xml:space="preserve">SI 26CT</t>
  </si>
  <si>
    <t xml:space="preserve">42-070-03</t>
  </si>
  <si>
    <t xml:space="preserve">9.6"</t>
  </si>
  <si>
    <t xml:space="preserve">11.7"</t>
  </si>
  <si>
    <t xml:space="preserve">9.0 lb</t>
  </si>
  <si>
    <t xml:space="preserve">Retired, sold as a pair; historical public MSRP. Circular product: physical size recorded as Height × Diameter.</t>
  </si>
  <si>
    <t xml:space="preserve">DTP3 T 101 D</t>
  </si>
  <si>
    <t xml:space="preserve">60-1902-52</t>
  </si>
  <si>
    <t xml:space="preserve">left:HDMI:HDMI In|left:Captive Screw:12VDC Power In|right:RJ45:DTP/HDBT Out</t>
  </si>
  <si>
    <t xml:space="preserve">2.8"</t>
  </si>
  <si>
    <t xml:space="preserve">1.7"</t>
  </si>
  <si>
    <t xml:space="preserve">1.9"</t>
  </si>
  <si>
    <t xml:space="preserve">0.4 lb</t>
  </si>
  <si>
    <t xml:space="preserve">No — wall/furniture mount</t>
  </si>
  <si>
    <t xml:space="preserve">Black wallplate selected; white is 60-1902-53.</t>
  </si>
  <si>
    <t xml:space="preserve">DTP3 T 203</t>
  </si>
  <si>
    <t xml:space="preserve">60-1885-52</t>
  </si>
  <si>
    <t xml:space="preserve">left:IEC:AC Power In|left:HDMI:HDMI In 1|left:HDMI:HDMI In 2|left:USB-C:USB-C In 3|right:HDMI:HDMI/CEC Out A|right:RJ45:DTP/HDBT Out B|left:RJ45:LAN</t>
  </si>
  <si>
    <t xml:space="preserve">1.75"</t>
  </si>
  <si>
    <t xml:space="preserve">8.75"</t>
  </si>
  <si>
    <t xml:space="preserve">8.50"</t>
  </si>
  <si>
    <t xml:space="preserve">2.17 lb</t>
  </si>
  <si>
    <t xml:space="preserve">No</t>
  </si>
  <si>
    <t xml:space="preserve">Yes — optional 1U rack shelf required</t>
  </si>
  <si>
    <t xml:space="preserve">DTP3 T 212 D</t>
  </si>
  <si>
    <t xml:space="preserve">60-1714-52</t>
  </si>
  <si>
    <t xml:space="preserve">left:HDMI:HDMI In|left:3.5mm:Audio In|left:USB-C:USB-C In|left:Captive Screw:12VDC Power In|right:RJ45:DTP/HDBT Out</t>
  </si>
  <si>
    <t xml:space="preserve">0.55 lb</t>
  </si>
  <si>
    <t xml:space="preserve">Black wallplate selected; white is 60-1714-53.</t>
  </si>
  <si>
    <t xml:space="preserve">DTP2 T 211</t>
  </si>
  <si>
    <t xml:space="preserve">60-1631-62</t>
  </si>
  <si>
    <t xml:space="preserve">left:HDMI:HDMI In|left:3.5mm:Audio In|left:Captive Screw:12VDC Power In|right:RJ45:DTP2 Out</t>
  </si>
  <si>
    <t xml:space="preserve">1.0"</t>
  </si>
  <si>
    <t xml:space="preserve">4.3"</t>
  </si>
  <si>
    <t xml:space="preserve">6.0"</t>
  </si>
  <si>
    <t xml:space="preserve">0.562 lb</t>
  </si>
  <si>
    <t xml:space="preserve">Current 2026 SKU selected; legacy SKU was 60-1631-52.</t>
  </si>
  <si>
    <t xml:space="preserve">DTP2 T 212</t>
  </si>
  <si>
    <t xml:space="preserve">60-1587-52</t>
  </si>
  <si>
    <t xml:space="preserve">left:HDMI:HDMI In 1|left:HDMI:HDMI In 2|left:3.5mm:Audio In|left:Captive Screw:12VDC Power In|right:HDMI:HDMI Out A|right:RJ45:DTP2/HDBT Out B</t>
  </si>
  <si>
    <t xml:space="preserve">DTP2 T 204</t>
  </si>
  <si>
    <t xml:space="preserve">60-1626-52</t>
  </si>
  <si>
    <t xml:space="preserve">left:HDMI:HDMI In 1|left:HDMI:HDMI In 2|left:HDMI:HDMI In 3|left:HDMI:HDMI In 4|left:Captive Screw:12VDC Power In|right:RJ45:DTP2/HDBT Out|left:RJ45:LAN</t>
  </si>
  <si>
    <t xml:space="preserve">4.5"</t>
  </si>
  <si>
    <t xml:space="preserve">1.25 lb</t>
  </si>
  <si>
    <t xml:space="preserve">DTP2 R 211</t>
  </si>
  <si>
    <t xml:space="preserve">60-1631-63</t>
  </si>
  <si>
    <t xml:space="preserve">left:Captive Screw:12VDC Power In|left:RJ45:DTP2/HDBT In|right:HDMI:HDMI Out|right:3.5mm:Audio Out|right:Captive Screw:Audio Out L|right:Captive Screw:Audio Out R</t>
  </si>
  <si>
    <t xml:space="preserve">Current 2026 SKU selected; legacy SKU was 60-1631-53.</t>
  </si>
  <si>
    <t xml:space="preserve">DTP2 R 212</t>
  </si>
  <si>
    <t xml:space="preserve">60-1588-52</t>
  </si>
  <si>
    <t xml:space="preserve">left:Captive Screw:12VDC Power In|left:HDMI:HDMI In 1|left:RJ45:DTP2/HDBT In 2|right:HDMI:HDMI Out|right:Captive Screw:Audio Out L|right:Captive Screw:Audio Out R|left:RJ45:LAN</t>
  </si>
  <si>
    <t xml:space="preserve">13.1"</t>
  </si>
  <si>
    <t xml:space="preserve">1.51 lb</t>
  </si>
  <si>
    <t xml:space="preserve">DTP HDMI 4K 230 Tx</t>
  </si>
  <si>
    <t xml:space="preserve">60-1271-12</t>
  </si>
  <si>
    <t xml:space="preserve">left:Captive Screw:12VDC Power In|left:3.5mm:Audio In|left:HDMI:HDMI In|right:RJ45:DTP Out</t>
  </si>
  <si>
    <t xml:space="preserve">3.0"</t>
  </si>
  <si>
    <t xml:space="preserve">DTP T HWP 4K 231 D</t>
  </si>
  <si>
    <t xml:space="preserve">60-1421-12</t>
  </si>
  <si>
    <t xml:space="preserve">left:Captive Screw:12VDC Power In|left:3.5mm:Audio In|left:HDMI:HDMI In|right:RJ45:DTP/HDBT Out</t>
  </si>
  <si>
    <t xml:space="preserve">0.2 lb</t>
  </si>
  <si>
    <t xml:space="preserve">48 VDC nominal</t>
  </si>
  <si>
    <t xml:space="preserve">Remote power over DTP/XTP or external DC</t>
  </si>
  <si>
    <t xml:space="preserve">Black wallplate selected; white is 60-1421-13.</t>
  </si>
  <si>
    <t xml:space="preserve">DTP T UWP 4K 232 D</t>
  </si>
  <si>
    <t xml:space="preserve">60-1755-12</t>
  </si>
  <si>
    <t xml:space="preserve">left:Captive Screw:12VDC Power In|left:HDMI:HDMI In|left:3.5mm:Audio In 1|left:VGA:VGA In|left:3.5mm:Audio In 2|right:RJ45:DTP Out</t>
  </si>
  <si>
    <t xml:space="preserve">2.70"</t>
  </si>
  <si>
    <t xml:space="preserve">3.50"</t>
  </si>
  <si>
    <t xml:space="preserve">1.90"</t>
  </si>
  <si>
    <t xml:space="preserve">Black wallplate selected; white is 60-1755-13.</t>
  </si>
  <si>
    <t xml:space="preserve">DTP HD DA 4K 230</t>
  </si>
  <si>
    <t xml:space="preserve">60-1437-01</t>
  </si>
  <si>
    <t xml:space="preserve">left:IEC:AC Power In|left:3.5mm:Audio In|left:HDMI:HDMI In|right:HDMI:HDMI Loop Out|right:RJ45:DTP Out 1|right:RJ45:DTP Out 2|right:RJ45:DTP Out 3|right:RJ45:DTP Out 4|left:RJ45:LAN</t>
  </si>
  <si>
    <t xml:space="preserve">17.5"</t>
  </si>
  <si>
    <t xml:space="preserve">10.6"</t>
  </si>
  <si>
    <t xml:space="preserve">4.9 lb</t>
  </si>
  <si>
    <t xml:space="preserve">0.8 A max @ 100 VAC</t>
  </si>
  <si>
    <t xml:space="preserve">Four-output DA selected from the listed ports (DTP HD DA4 4K 230).</t>
  </si>
  <si>
    <t xml:space="preserve">DTP T DSW 4K 233</t>
  </si>
  <si>
    <t xml:space="preserve">60-1487-12</t>
  </si>
  <si>
    <t xml:space="preserve">left:Captive Screw:12VDC Power In|left:3.5mm:Audio In|left:VGA:VGA In 1|left:HDMI:HDMI In 2|left:DisplayPort:DisplayPort In 3|right:RJ45:DTP/HDBT Out</t>
  </si>
  <si>
    <t xml:space="preserve">DTP T USW 233</t>
  </si>
  <si>
    <t xml:space="preserve">60-1551-12</t>
  </si>
  <si>
    <t xml:space="preserve">left:Captive Screw:12VDC Power In|left:3.5mm:Audio In|left:VGA:VGA In 1|left:HDMI:HDMI In 2|left:HDMI:HDMI In 3|right:RJ45:DTP/HDBT Out</t>
  </si>
  <si>
    <t xml:space="preserve">DTP T HD2 4K 230</t>
  </si>
  <si>
    <t xml:space="preserve">60-1491-12</t>
  </si>
  <si>
    <t xml:space="preserve">left:Captive Screw:12VDC Power In|left:HDMI:HDMI In|right:HDMI:HDMI Loop Out|right:RJ45:DTP/HDBT Out</t>
  </si>
  <si>
    <t xml:space="preserve">DTP T HWP 232 D</t>
  </si>
  <si>
    <t xml:space="preserve">60-1365-63</t>
  </si>
  <si>
    <t xml:space="preserve">left:Captive Screw:12VDC Power In|left:HDMI:HDMI In 1|left:3.5mm:Audio In 1|left:HDMI:HDMI In 2|left:3.5mm:Audio In 2|right:Captive Screw:IR Out|right:RJ45:DTP Out</t>
  </si>
  <si>
    <t xml:space="preserve">Current white wallplate SKU selected; legacy white SKU was 60-1365-13.</t>
  </si>
  <si>
    <t xml:space="preserve">DTP HDMI 4K 330 Tx</t>
  </si>
  <si>
    <t xml:space="preserve">60-1331-12</t>
  </si>
  <si>
    <t xml:space="preserve">DTP HD DA 4K 330</t>
  </si>
  <si>
    <t xml:space="preserve">60-1437-51</t>
  </si>
  <si>
    <t xml:space="preserve">Four-output DA selected from the listed ports (DTP HD DA4 4K 330).</t>
  </si>
  <si>
    <t xml:space="preserve">DTP T SW4 HD 4K</t>
  </si>
  <si>
    <t xml:space="preserve">60-1625-01</t>
  </si>
  <si>
    <t xml:space="preserve">left:Captive Screw:12VDC Power In|left:HDMI:HDMI In 1|left:HDMI:HDMI In 2|left:HDMI:HDMI In 3|left:HDMI:HDMI In 4|right:RJ45:DTP/HDBT Out</t>
  </si>
  <si>
    <t xml:space="preserve">DTP T DSW 4K 333</t>
  </si>
  <si>
    <t xml:space="preserve">60-1487-52</t>
  </si>
  <si>
    <t xml:space="preserve">DTP T HD2 4K 330</t>
  </si>
  <si>
    <t xml:space="preserve">60-1491-52</t>
  </si>
  <si>
    <t xml:space="preserve">DTP T HWP 4K 331 D</t>
  </si>
  <si>
    <t xml:space="preserve">60-1421-52</t>
  </si>
  <si>
    <t xml:space="preserve">Black wallplate selected; white is 60-1421-53.</t>
  </si>
  <si>
    <t xml:space="preserve">DTP T USW 333</t>
  </si>
  <si>
    <t xml:space="preserve">60-1551-52</t>
  </si>
  <si>
    <t xml:space="preserve">DTP T UWP 4K 332 D</t>
  </si>
  <si>
    <t xml:space="preserve">60-1755-52</t>
  </si>
  <si>
    <t xml:space="preserve">Black wallplate selected; white is 60-1755-53.</t>
  </si>
  <si>
    <t xml:space="preserve">DTP T DP 4K 230</t>
  </si>
  <si>
    <t xml:space="preserve">60-1076-12</t>
  </si>
  <si>
    <t xml:space="preserve">left:Captive Screw:12VDC Power In|left:3.5mm:Audio In|left:DisplayPort:DisplayPort In|right:RJ45:DTP/HDBT Out</t>
  </si>
  <si>
    <t xml:space="preserve">DTP T DP 4K 330</t>
  </si>
  <si>
    <t xml:space="preserve">60-1076-52</t>
  </si>
  <si>
    <t xml:space="preserve">DTP HDMI 4K 230 Rx</t>
  </si>
  <si>
    <t xml:space="preserve">60-1271-13</t>
  </si>
  <si>
    <t xml:space="preserve">left:Captive Screw:12VDC Power In|left:RJ45:DTP In|right:HDMI:HDMI Out|right:Captive Screw:Audio Out L|right:Captive Screw:Audio Out R</t>
  </si>
  <si>
    <t xml:space="preserve">DTP R HWP 4K 231 D</t>
  </si>
  <si>
    <t xml:space="preserve">60-1531-12</t>
  </si>
  <si>
    <t xml:space="preserve">Black wallplate selected; white is 60-1531-13.</t>
  </si>
  <si>
    <t xml:space="preserve">DTP R DP 4K 230</t>
  </si>
  <si>
    <t xml:space="preserve">60-1076-23</t>
  </si>
  <si>
    <t xml:space="preserve">left:Captive Screw:12VDC Power In|left:RJ45:DTP In|right:DisplayPort:DisplayPort Out|right:Captive Screw:Audio Out L|right:Captive Screw:Audio Out R</t>
  </si>
  <si>
    <t xml:space="preserve">DTP HDMI 4K 330 Rx</t>
  </si>
  <si>
    <t xml:space="preserve">60-1331-13</t>
  </si>
  <si>
    <t xml:space="preserve">DTP R HWP 4K 331 D</t>
  </si>
  <si>
    <t xml:space="preserve">60-1531-52</t>
  </si>
  <si>
    <t xml:space="preserve">Black wallplate selected; white is 60-1531-53.</t>
  </si>
  <si>
    <t xml:space="preserve">DTP R DP 4K 330</t>
  </si>
  <si>
    <t xml:space="preserve">60-1076-63</t>
  </si>
  <si>
    <t xml:space="preserve">IN1604</t>
  </si>
  <si>
    <t xml:space="preserve">60-1457-02</t>
  </si>
  <si>
    <t xml:space="preserve">left:IEC:AC Power In|left:VGA:VGA In 1|left:3.5mm:Audio In 1|left:HDMI:HDMI In 2|left:HDMI:HDMI In 3|left:HDMI:HDMI In 4|left:Captive Screw:Audio In L|left:Captive Screw:Audio In R|right:HDMI:HDMI Out|right:Captive Screw:Audio Out L|right:Captive Screw:Audio Out R</t>
  </si>
  <si>
    <t xml:space="preserve">HDMI-output variant selected: IN1604 HD.</t>
  </si>
  <si>
    <t xml:space="preserve">IN1806</t>
  </si>
  <si>
    <t xml:space="preserve">60-1663-01</t>
  </si>
  <si>
    <t xml:space="preserve">left:IEC:AC Power In|left:HDMI:HDMI In 1|left:HDMI:HDMI In 2|left:HDMI:HDMI In 3|left:HDMI:HDMI In 4|left:HDMI:HDMI In 5|left:HDMI:HDMI In 6|right:HDMI:HDMI Loop Out|right:HDMI:HDMI Out 1A|right:RJ45:DTP/HDBT Out 1B|left:Captive Screw:Aux Audio In L|left:Captive Screw:Aux Audio In R|left:Captive Screw:Mic/Line In 1|left:Captive Screw:Mic/Line In 2|right:Captive Screw:Audio Out 1 L|right:Captive Screw:Audio Out 1 R|right:Captive Screw:Audio Out 2 L|right:Captive Screw:Audio Out 2 R|right:Captive Screw:Audio Out 3 L|right:Captive Screw:Audio Out 3 R|left:RJ45:LAN</t>
  </si>
  <si>
    <t xml:space="preserve">IN1608 xi</t>
  </si>
  <si>
    <t xml:space="preserve">60-1238-81</t>
  </si>
  <si>
    <t xml:space="preserve">left:IEC:AC Power In|left:VGA:VGA In 1|left:VGA:VGA In 2|left:HDMI:HDMI In 3|left:HDMI:HDMI In 4|left:HDMI:HDMI In 5|left:HDMI:HDMI In 6|left:RJ45:DTP In 7|left:RJ45:DTP In 8|right:RJ45:DTP/HDBT Out 1C|right:HDMI:HDMI Out 1A|left:Captive Screw:Audio In 1|left:Captive Screw:Audio In 2|left:Captive Screw:Audio In 3|left:Captive Screw:Audio In 4|left:Captive Screw:Audio In 5|left:Captive Screw:Audio In 6|left:Captive Screw:Audio In 7|left:Captive Screw:Audio In 8|left:Captive Screw:Mic/Line In 1|left:Captive Screw:Mic/Line In 2|right:Captive Screw:Audio Out 1|right:Captive Screw:Audio Out 2|left:RJ45:LAN</t>
  </si>
  <si>
    <t xml:space="preserve">Multi-Window Processor</t>
  </si>
  <si>
    <t xml:space="preserve">MGP 641 xi 5K</t>
  </si>
  <si>
    <t xml:space="preserve">60-1574-13</t>
  </si>
  <si>
    <t xml:space="preserve">left:IEC:AC Power In|left:HDMI:HDMI In 1|left:HDMI:HDMI In 2|left:HDMI:HDMI In 3|left:HDMI:HDMI In 4|left:HDMI:Background HDMI In|right:HDMI:HDMI Out 1A|right:RJ45:DTP/HDBT Out 1B|left:USB-A:USB 1|left:USB-A:USB 2|right:Captive Screw:Audio Out L|right:Captive Screw:Audio Out R|left:RJ45:LAN</t>
  </si>
  <si>
    <t xml:space="preserve">14.5”</t>
  </si>
  <si>
    <t xml:space="preserve">DTP CrossPoint 82 4K</t>
  </si>
  <si>
    <t xml:space="preserve">60-1583-01</t>
  </si>
  <si>
    <t xml:space="preserve">left:IEC:AC Power In|left:HDMI:HDMI In 1|left:HDMI:HDMI In 2|left:HDMI:HDMI In 3|left:HDMI:HDMI In 4|left:HDMI:HDMI In 5|left:HDMI:HDMI In 6|left:RJ45:DTP/HDBT In 7|left:RJ45:DTP/HDBT In 8|right:HDMI:HDMI Out 1A|right:RJ45:DTP/HDBT Out 1B|right:HDMI:HDMI Out 2A|right:RJ45:DTP/HDBT Out 2B|right:RCA:S/PDIF Out|left:Captive Screw:Audio In 1|left:Captive Screw:Audio In 2|left:Captive Screw:Audio In 3|left:Captive Screw:Audio In 4|left:Captive Screw:Audio In 5|left:Captive Screw:Audio In 6|left:Captive Screw:Audio In 7|left:Captive Screw:Audio In 8|left:Captive Screw:Mic/Line In 1|left:Captive Screw:Mic/Line In 2|right:Captive Screw:Audio Out 1|right:Captive Screw:Audio Out 2|right:Captive Screw:Audio Out 3|right:Captive Screw:Audio Out 4|left:RJ45:LAN</t>
  </si>
  <si>
    <t xml:space="preserve">DTP CrossPoint 86 4K</t>
  </si>
  <si>
    <t xml:space="preserve">60-1382-01</t>
  </si>
  <si>
    <t xml:space="preserve">left:IEC:AC Power In|left:HDMI:HDMI In 1|left:HDMI:HDMI In 2|left:HDMI:HDMI In 3|left:HDMI:HDMI In 4|left:HDMI:HDMI In 5|left:HDMI:HDMI In 6|left:RJ45:DTP/HDBT In 7|left:RJ45:DTP/HDBT In 8|right:HDMI:HDMI Out 1|right:HDMI:HDMI Out 2|right:HDMI:HDMI Out 3A|right:RJ45:DTP/HDBT Out 3B|right:HDMI:HDMI Out 4A|right:RJ45:DTP/HDBT Out 4B|right:RCA:S/PDIF Out 4|right:RJ45:DTP/HDBT Out 5|right:RCA:S/PDIF Out 5|right:RJ45:DTP/HDBT Out 6|left:Captive Screw:Audio In 1|left:Captive Screw:Audio In 2|left:Captive Screw:Audio In 3|left:Captive Screw:Audio In 4|left:Captive Screw:Audio In 5|left:Captive Screw:Audio In 6|left:Captive Screw:Audio In 7|left:Captive Screw:Audio In 8|left:Captive Screw:Mic/Line In 1|left:Captive Screw:Mic/Line In 2|right:Captive Screw:Audio Out 1|right:Captive Screw:Audio Out 2|right:Captive Screw:Audio Out 3|right:Captive Screw:Audio Out 4|right:Captive Screw:Audio Out 5|right:Captive Screw:Audio Out 6|right:Captive Screw:Audio Out 7|right:Captive Screw:Audio Out 8|left:RJ45:LAN</t>
  </si>
  <si>
    <t xml:space="preserve">DXP 42 HD 8K</t>
  </si>
  <si>
    <t xml:space="preserve">60-1879-01</t>
  </si>
  <si>
    <t xml:space="preserve">left:Captive Screw:12VDC Power In|left:HDMI:HDMI In 1|left:HDMI:HDMI In 2|left:HDMI:HDMI In 3|left:HDMI:HDMI In 4|right:HDMI:HDMI Out 1|right:HDMI:HDMI Out 2|right:Captive Screw:Audio Out 3 L|right:Captive Screw:Audio Out 3 R|right:Captive Screw:Audio Out 4 L|right:Captive Screw:Audio Out 4 R|left:RJ45:LAN</t>
  </si>
  <si>
    <t xml:space="preserve">DXP HD 4K Plus 44</t>
  </si>
  <si>
    <t xml:space="preserve">60-1493-21</t>
  </si>
  <si>
    <t xml:space="preserve">left:IEC:AC Power In|left:HDMI:HDMI In 1|left:HDMI:HDMI In 2|left:HDMI:HDMI In 3|left:HDMI:HDMI In 4|right:HDMI:HDMI Out 1|right:HDMI:HDMI Out 2|right:HDMI:HDMI Out 3|right:HDMI:HDMI Out 4|right:RCA:S/PDIF Out 1|right:RCA:S/PDIF Out 2|right:Captive Screw:Audio Out 1 L|right:Captive Screw:Audio Out 1 R|right:Captive Screw:Audio Out 2 L|right:Captive Screw:Audio Out 2 R|left:RJ45:LAN</t>
  </si>
  <si>
    <t xml:space="preserve">Actual model order is DXP 44 HD 4K PLUS.</t>
  </si>
  <si>
    <t xml:space="preserve">DXP HD 4K Plus 88</t>
  </si>
  <si>
    <t xml:space="preserve">60-1495-21</t>
  </si>
  <si>
    <t xml:space="preserve">left:IEC:AC Power In|left:HDMI:HDMI In 1|left:HDMI:HDMI In 2|left:HDMI:HDMI In 3|left:HDMI:HDMI In 4|left:HDMI:HDMI In 5|left:HDMI:HDMI In 6|left:HDMI:HDMI In 7|left:HDMI:HDMI In 8|right:HDMI:HDMI Out 1|right:HDMI:HDMI Out 2|right:HDMI:HDMI Out 3|right:HDMI:HDMI Out 4|right:HDMI:HDMI Out 5|right:HDMI:HDMI Out 6|right:HDMI:HDMI Out 7|right:HDMI:HDMI Out 8|right:RCA:S/PDIF Out 1|right:RCA:S/PDIF Out 2|right:Captive Screw:Audio Out 1 L|right:Captive Screw:Audio Out 1 R|right:Captive Screw:Audio Out 2 L|right:Captive Screw:Audio Out 2 R|left:RJ45:LAN</t>
  </si>
  <si>
    <t xml:space="preserve">Actual model order is DXP 88 HD 4K PLUS.</t>
  </si>
  <si>
    <t xml:space="preserve">NAV E 501</t>
  </si>
  <si>
    <t xml:space="preserve">60-1525-01</t>
  </si>
  <si>
    <t xml:space="preserve">left:Captive Screw:12VDC Power In|left:HDMI:HDMI In|right:HDMI:HDMI Loop Out|left:Captive Screw:Audio In L|left:Captive Screw:Audio In R|left:USB-C:USB 2.0|left:RJ45:NAV 1G/PoE+|left:RJ45:LAN EXT</t>
  </si>
  <si>
    <t xml:space="preserve">NAV E 511</t>
  </si>
  <si>
    <t xml:space="preserve">60-1958-05</t>
  </si>
  <si>
    <t xml:space="preserve">left:Captive Screw:12VDC Power In|left:HDMI:HDMI In|right:HDMI:HDMI Loop Out|left:Captive Screw:Audio In L|left:Captive Screw:Audio In R|left:USB-C:USB 2.0|left:SFP:NAV|left:RJ45:LAN EXT</t>
  </si>
  <si>
    <t xml:space="preserve">Multimode fiber variant selected; singlemode is 60-1958-06.</t>
  </si>
  <si>
    <t xml:space="preserve">NAV E 201 D</t>
  </si>
  <si>
    <t xml:space="preserve">60-1525-05</t>
  </si>
  <si>
    <t xml:space="preserve">left:Captive Screw:12VDC Power In|left:HDMI:HDMI In|left:RJ45:NAV 1G/PoE+|right:HDMI:HDMI Out</t>
  </si>
  <si>
    <t xml:space="preserve">PoE or external DC power supply</t>
  </si>
  <si>
    <t xml:space="preserve">Black wallplate selected; white is 60-1525-06.</t>
  </si>
  <si>
    <t xml:space="preserve">NAV E 401 D</t>
  </si>
  <si>
    <t xml:space="preserve">60-1525-07</t>
  </si>
  <si>
    <t xml:space="preserve">left:Captive Screw:12VDC Power In|left:HDMI:HDMI In|left:RJ45:NAV 1G/PoE+|right:HDMI:HDMI Out|right:RJ45:LAN-EXT</t>
  </si>
  <si>
    <t xml:space="preserve">Black wallplate selected; white is 60-1525-08.</t>
  </si>
  <si>
    <t xml:space="preserve">NAV 10E 501</t>
  </si>
  <si>
    <t xml:space="preserve">60-1572-01</t>
  </si>
  <si>
    <t xml:space="preserve">left:Captive Screw:12VDC Power In|left:HDMI:HDMI In|left:HDMI:HDMI Loop Thru|left:Captive Screw:Analog Audio In|left:Captive Screw:Contact In|left:Captive Screw:RS-232|left:Captive Screw:IR|right:USB-C:USB 2.0|right:SFP+:NAV 10G|right:RJ45:LAN-EXT</t>
  </si>
  <si>
    <t xml:space="preserve">Multimode fiber variant selected; singlemode is 60-1572-02.</t>
  </si>
  <si>
    <t xml:space="preserve">NAV 10E 201 D</t>
  </si>
  <si>
    <t xml:space="preserve">60-1572-21</t>
  </si>
  <si>
    <t xml:space="preserve">left:Captive Screw:12VDC Power In|left:HDMI:HDMI In|left:Captive Screw:RS-232|left:Captive Screw:IR|right:HDMI:HDMI Out|right:SFP+:NAV 10G</t>
  </si>
  <si>
    <t xml:space="preserve">Black multimode variant selected; black singlemode is 60-1572-22.</t>
  </si>
  <si>
    <t xml:space="preserve">NAV 10E 401 D</t>
  </si>
  <si>
    <t xml:space="preserve">60-1572-25</t>
  </si>
  <si>
    <t xml:space="preserve">left:Captive Screw:12VDC Power In|left:HDMI:HDMI In|left:Captive Screw:RS-232|left:Captive Screw:IR|right:HDMI:HDMI Out|right:SFP+:NAV 10G|right:RJ45:LAN-EXT</t>
  </si>
  <si>
    <t xml:space="preserve">Black multimode variant selected; black singlemode is 60-1572-26.</t>
  </si>
  <si>
    <t xml:space="preserve">NAV D 121</t>
  </si>
  <si>
    <t xml:space="preserve">60-2040-03</t>
  </si>
  <si>
    <t xml:space="preserve">left:Captive Screw:12VDC Power In|left:HDMI:HDMI Out|left:Captive Screw:RS-232|left:Captive Screw:IR|left:Captive Screw:Digital I/O 1|left:Captive Screw:Digital I/O 2|right:RJ45:NAV 1G/PoE+</t>
  </si>
  <si>
    <t xml:space="preserve">NAV SD 511</t>
  </si>
  <si>
    <t xml:space="preserve">60-1958-07</t>
  </si>
  <si>
    <t xml:space="preserve">left:Captive Screw:12VDC Power In|left:HDMI:HDMI Out|left:Captive Screw:Analog Audio Out|left:Captive Screw:RS-232|left:Captive Screw:IR|right:USB-C:USB 2.0|right:SFP+:NAV 10G|right:RJ45:LAN-EXT</t>
  </si>
  <si>
    <t xml:space="preserve">Multimode fiber variant selected; singlemode is 60-1958-08.</t>
  </si>
  <si>
    <t xml:space="preserve">left:Captive Screw:12VDC Power In|left:HDMI:HDMI Out|left:Captive Screw:Analog Audio Out|left:Captive Screw:RS-232|left:Captive Screw:IR|right:USB-C:USB 2.0|right:RJ45:NAV 1G/PoE+|right:RJ45:LAN-EXT</t>
  </si>
  <si>
    <t xml:space="preserve">NAV 10SD 101</t>
  </si>
  <si>
    <t xml:space="preserve">60-1572-19</t>
  </si>
  <si>
    <t xml:space="preserve">left:Captive Screw:12VDC Power In|left:HDMI:HDMI Out|left:Captive Screw:Analog Audio Out|left:Captive Screw:RS-232|left:Captive Screw:IR|right:SFP+:NAV 10G</t>
  </si>
  <si>
    <t xml:space="preserve">Multimode fiber variant selected; singlemode is 60-1572-20.</t>
  </si>
  <si>
    <t xml:space="preserve">NAV 10SD 501</t>
  </si>
  <si>
    <t xml:space="preserve">60-1572-07</t>
  </si>
  <si>
    <t xml:space="preserve">Multimode fiber variant selected; singlemode is 60-1572-08.</t>
  </si>
  <si>
    <t xml:space="preserve">Streaming and Recording</t>
  </si>
  <si>
    <t xml:space="preserve">SMP 401</t>
  </si>
  <si>
    <t xml:space="preserve">60-1825-01</t>
  </si>
  <si>
    <t xml:space="preserve">left:AC:AC Power In|left:USB-A:USB 3.1 Storage|left:Captive Screw:RS-232|left:USB-C:RCP Control|left:Captive Screw:Digital I/O 1|left:Captive Screw:Digital I/O 2|left:Captive Screw:Digital I/O 3|left:Captive Screw:Digital I/O 4|left:HDMI:HDMI In 1|left:HDMI:HDMI In 2|left:Captive Screw:Analog Audio In Channel A|left:HDMI:HDMI In 3|left:BNC:12G-SDI In 4|left:Captive Screw:Mic/Line In 1|left:Captive Screw:Mic/Line In 2|right:HDMI:HDMI Out|right:Captive Screw:Analog Audio Out|right:RJ45:LAN A|right:RJ45:LAN B</t>
  </si>
  <si>
    <t xml:space="preserve">SMP 352</t>
  </si>
  <si>
    <t xml:space="preserve">60-1634-01</t>
  </si>
  <si>
    <t xml:space="preserve">left:AC:AC Power In|left:USB-A:USB Storage|left:USB-A:Mouse/Keyboard|left:Captive Screw:Digital I/O 1|left:Captive Screw:Digital I/O 2|left:Captive Screw:Digital I/O 3|left:Captive Screw:Digital I/O 4|left:Captive Screw:RS-232|left:HDMI:HDMI In 1|left:HDMI:HDMI Loop Thru|left:Captive Screw:Analog Audio In Channel A|left:BNC:3G-SDI In 2|left:BNC:3G-SDI In 3|left:HDMI:HDMI In 4|left:Captive Screw:Analog Audio In Channel B|right:HDMI:HDMI Out|right:Captive Screw:Analog Audio Out|right:RJ45:LAN</t>
  </si>
  <si>
    <t xml:space="preserve">Base 80 GB SSD / dual-recording model selected; storage/3G-SDI variants use different SKUs.</t>
  </si>
  <si>
    <t xml:space="preserve">SME 211</t>
  </si>
  <si>
    <t xml:space="preserve">60-1763-01</t>
  </si>
  <si>
    <t xml:space="preserve">left:AC:AC Power In|left:USB-A:USB|left:HDMI:HDMI In|left:Captive Screw:Analog Audio In|left:Captive Screw:RS-232|right:HDMI:HDMI Out|right:RJ45:LAN</t>
  </si>
  <si>
    <t xml:space="preserve">SMD 202</t>
  </si>
  <si>
    <t xml:space="preserve">60-1306-01</t>
  </si>
  <si>
    <t xml:space="preserve">left:Captive Screw:12VDC Power In|left:USB-A:USB In|left:SD Card:SD Card In|left:HDMI:HDMI In|left:Captive Screw:Analog Audio In|left:Captive Screw:IR In|left:Captive Screw:RS-232|right:HDMI:HDMI Out|right:Captive Screw:Analog Audio Out|right:RJ45:LAN</t>
  </si>
  <si>
    <t xml:space="preserve">SMD 101</t>
  </si>
  <si>
    <t xml:space="preserve">60-1305-01</t>
  </si>
  <si>
    <t xml:space="preserve">left:Captive Screw:12VDC Power In|left:Captive Screw:IR In|left:Captive Screw:RS-232|right:HDMI:HDMI Out|right:Captive Screw:Analog Audio Out|right:RJ45:LAN</t>
  </si>
  <si>
    <t xml:space="preserve">NBP 50</t>
  </si>
  <si>
    <t xml:space="preserve">60-1953-01</t>
  </si>
  <si>
    <t xml:space="preserve">1.2”</t>
  </si>
  <si>
    <t xml:space="preserve">0.5 lb</t>
  </si>
  <si>
    <t xml:space="preserve">NBP 100</t>
  </si>
  <si>
    <t xml:space="preserve">60-1794-01</t>
  </si>
  <si>
    <t xml:space="preserve">NBP 105 D</t>
  </si>
  <si>
    <t xml:space="preserve">60-1688-01</t>
  </si>
  <si>
    <t xml:space="preserve">left:RJ-45:PoE Network</t>
  </si>
  <si>
    <t xml:space="preserve">1.5”</t>
  </si>
  <si>
    <t xml:space="preserve">NBP 106 D</t>
  </si>
  <si>
    <t xml:space="preserve">60-1817-01</t>
  </si>
  <si>
    <t xml:space="preserve">NBP 108 D</t>
  </si>
  <si>
    <t xml:space="preserve">60-1818-01</t>
  </si>
  <si>
    <t xml:space="preserve">NBP 110 D</t>
  </si>
  <si>
    <t xml:space="preserve">60-1689-01</t>
  </si>
  <si>
    <t xml:space="preserve">NBP VC1 D</t>
  </si>
  <si>
    <t xml:space="preserve">60-2036-01</t>
  </si>
  <si>
    <t xml:space="preserve">NBP VC2 D</t>
  </si>
  <si>
    <t xml:space="preserve">60-2037-01</t>
  </si>
  <si>
    <t xml:space="preserve">NBP 104 EU</t>
  </si>
  <si>
    <t xml:space="preserve">60-2050-01</t>
  </si>
  <si>
    <t xml:space="preserve">3.2”</t>
  </si>
  <si>
    <t xml:space="preserve">NBP 108 EU</t>
  </si>
  <si>
    <t xml:space="preserve">60-2051-01</t>
  </si>
  <si>
    <t xml:space="preserve">NBP VC1 EU</t>
  </si>
  <si>
    <t xml:space="preserve">60-2052-01</t>
  </si>
  <si>
    <t xml:space="preserve">NBP VC2 EU</t>
  </si>
  <si>
    <t xml:space="preserve">60-2053-01</t>
  </si>
  <si>
    <t xml:space="preserve">NBP 1200C</t>
  </si>
  <si>
    <t xml:space="preserve">60-1835-01</t>
  </si>
  <si>
    <t xml:space="preserve">10.2”</t>
  </si>
  <si>
    <t xml:space="preserve">1.8”</t>
  </si>
  <si>
    <t xml:space="preserve">Black Cable Cubby model selected; brushed aluminum is 60-1835-08.</t>
  </si>
  <si>
    <t xml:space="preserve">IPCP Pro xi Power</t>
  </si>
  <si>
    <t xml:space="preserve">60-1910-01</t>
  </si>
  <si>
    <t xml:space="preserve">left:IEC:AC Power In|left:Captive Screw:COM RS-232|left:Captive Screw:IR/S|left:Captive Screw:Digital I/O|left:Captive Screw:eBUS|right:IEC:Switched AC Power Out|right:RJ45:LAN</t>
  </si>
  <si>
    <t xml:space="preserve">0.5 A max</t>
  </si>
  <si>
    <t xml:space="preserve">Mapped by switched AC/device-control ports to IPCP Pro PCS1 xi.</t>
  </si>
  <si>
    <t xml:space="preserve">IPL EXP I/O</t>
  </si>
  <si>
    <t xml:space="preserve">60-1907-01</t>
  </si>
  <si>
    <t xml:space="preserve">left:Captive Screw:+V OUT / Digital I/O 1-8|left:Captive Screw:Relays 1-8|right:RJ45:LAN / PoE+</t>
  </si>
  <si>
    <t xml:space="preserve">Mapped to IPL EXP RIO8.</t>
  </si>
  <si>
    <t xml:space="preserve">IPL EXP Power</t>
  </si>
  <si>
    <t xml:space="preserve">60-1956-01</t>
  </si>
  <si>
    <t xml:space="preserve">left:IEC C14:AC Input|left:IEC C13:Switched AC Outputs 1-4|right:Captive Screw:Manual Control 1-4|right:Captive Screw:Relay NO/C|right:RJ45:LAN</t>
  </si>
  <si>
    <t xml:space="preserve">Mapped to U.S./IEC IPL EXP PDU4H.</t>
  </si>
  <si>
    <t xml:space="preserve">MLC Plus 50</t>
  </si>
  <si>
    <t xml:space="preserve">60-1468-03</t>
  </si>
  <si>
    <t xml:space="preserve">left:2-Pin Captive Screw:12V DC Power|left:3-Pin Captive Screw:COM 1 RS-232|left:2-Pin Captive Screw:IR|right:2-Pin Captive Screw:Digital Input|right:3-Pin Captive Screw:Relays 1-2|right:RJ45:LAN / PoE</t>
  </si>
  <si>
    <t xml:space="preserve">0.50 A max</t>
  </si>
  <si>
    <t xml:space="preserve">MLC Plus 84</t>
  </si>
  <si>
    <t xml:space="preserve">60-1194-03</t>
  </si>
  <si>
    <t xml:space="preserve">left:2-Pin Captive Screw:12V DC Power|left:3-Pin Captive Screw:COM 1 RS-232|left:3-Pin Captive Screw:COM 2 RS-232|left:2-Pin Captive Screw:IR|right:3-Pin Captive Screw:Volume Control|right:2-Pin Captive Screw:Digital Input|right:3-Pin Captive Screw:Relays 1-2|right:RJ45:LAN / PoE</t>
  </si>
  <si>
    <t xml:space="preserve">Actual model is MLC Plus 84 D.</t>
  </si>
  <si>
    <t xml:space="preserve">MLC Plus 100</t>
  </si>
  <si>
    <t xml:space="preserve">60-1469-03</t>
  </si>
  <si>
    <t xml:space="preserve">MLC Plus 200</t>
  </si>
  <si>
    <t xml:space="preserve">60-1470-02</t>
  </si>
  <si>
    <t xml:space="preserve">MLC Plus 400</t>
  </si>
  <si>
    <t xml:space="preserve">60-2014-01</t>
  </si>
  <si>
    <t xml:space="preserve">left:3-Pin Captive Screw:COM 1 RS-232|left:3-Pin Captive Screw:COM 2 RS-232|left:2-Pin Captive Screw:IR|right:3-Pin Captive Screw:Volume Control|right:2-Pin Captive Screw:Digital Input|right:3-Pin Captive Screw:Relays 1-2|right:RJ45:LAN / PoE</t>
  </si>
  <si>
    <t xml:space="preserve">MLC 60</t>
  </si>
  <si>
    <t xml:space="preserve">60-1005-02</t>
  </si>
  <si>
    <t xml:space="preserve">left:2-Pin Captive Screw:12V DC Power|left:2-Pin Captive Screw:COM Port A|left:2-Pin Captive Screw:IR/S Port B|right:3-Pin Captive Screw:Relays 1-2|right:2-Pin Captive Screw:Digital Input|right:3-Pin Captive Screw:RS-232 Remote</t>
  </si>
  <si>
    <t xml:space="preserve">No exact MLC 60 found; nearest actual model MLC 62 RS D selected.</t>
  </si>
  <si>
    <t xml:space="preserve">XPA U 2004 FX</t>
  </si>
  <si>
    <t xml:space="preserve">60-2026-01</t>
  </si>
  <si>
    <t xml:space="preserve">left:IEC C14:AC Power Input|left:2-Pin Captive Screw:Speaker Output 1|left:2-Pin Captive Screw:Speaker Output 2|left:2-Pin Captive Screw:Speaker Output 3|left:2-Pin Captive Screw:Speaker Output 4|right:5-Pin Captive Screw:Audio Inputs 1-2|right:5-Pin Captive Screw:Audio Inputs 3-4|right:2-Pin Captive Screw:Remote Standby</t>
  </si>
  <si>
    <t xml:space="preserve">3.0 A max @ 100 VAC</t>
  </si>
  <si>
    <t xml:space="preserve">XPA U 2008 FX</t>
  </si>
  <si>
    <t xml:space="preserve">60-2025-01</t>
  </si>
  <si>
    <t xml:space="preserve">left:IEC C14:AC Power Input|left:2-Pin Captive Screw:Speaker Output 1|left:2-Pin Captive Screw:Speaker Output 2|left:2-Pin Captive Screw:Speaker Output 3|left:2-Pin Captive Screw:Speaker Output 4|left:2-Pin Captive Screw:Speaker Output 5|left:2-Pin Captive Screw:Speaker Output 6|left:2-Pin Captive Screw:Speaker Output 7|left:2-Pin Captive Screw:Speaker Output 8|right:5-Pin Captive Screw:Audio Inputs 1-2|right:5-Pin Captive Screw:Audio Inputs 3-4|right:5-Pin Captive Screw:Audio Inputs 5-6|right:5-Pin Captive Screw:Audio Inputs 7-8|right:2-Pin Captive Screw:Remote Standby</t>
  </si>
  <si>
    <t xml:space="preserve">XPA U 4004 FX</t>
  </si>
  <si>
    <t xml:space="preserve">60-2034-01</t>
  </si>
  <si>
    <t xml:space="preserve">left:IEC C14:AC Power Input|left:2-Pin Captive Screw:Speaker Output 1|left:2-Pin Captive Screw:Speaker Output 2|left:2-Pin Captive Screw:Speaker Output 3|left:2-Pin Captive Screw:Speaker Output 4|right:3-Pin Captive Screw:Audio Input 1|right:3-Pin Captive Screw:Audio Input 2|right:3-Pin Captive Screw:Audio Input 3|right:3-Pin Captive Screw:Audio Input 4|right:2-Pin Captive Screw:Remote Standby</t>
  </si>
  <si>
    <t xml:space="preserve">5.0 A max @ 100 VAC</t>
  </si>
  <si>
    <t xml:space="preserve">XPA U 3502</t>
  </si>
  <si>
    <t xml:space="preserve">60-1955-01</t>
  </si>
  <si>
    <t xml:space="preserve">left:IEC C14:AC Power Input|left:3-Pin Captive Screw:Audio Input 1|left:3-Pin Captive Screw:Audio Input 2|right:3-Pin Captive Screw:Remote Volume Channel 1|right:3-Pin Captive Screw:Remote Volume Channel 2|right:2-Pin Captive Screw:Remote Standby|right:2-Pole Terminal Block:Speaker Output 1|right:2-Pole Terminal Block:Speaker Output 2</t>
  </si>
  <si>
    <t xml:space="preserve">XPA U 358</t>
  </si>
  <si>
    <t xml:space="preserve">60-1759-01</t>
  </si>
  <si>
    <t xml:space="preserve">left:IEC C14:AC Power Input|left:5-Pin Captive Screw:Audio Inputs 1-2|left:5-Pin Captive Screw:Audio Inputs 3-4|left:5-Pin Captive Screw:Audio Inputs 5-6|left:5-Pin Captive Screw:Audio Inputs 7-8|right:2-Pin Captive Screw:Remote Standby|right:4-Pole Terminal Block:Speaker Outputs 1-2|right:4-Pole Terminal Block:Speaker Outputs 3-4|right:4-Pole Terminal Block:Speaker Outputs 5-6|right:4-Pole Terminal Block:Speaker Outputs 7-8</t>
  </si>
  <si>
    <t xml:space="preserve">0.9 A max @ 100 VAC</t>
  </si>
  <si>
    <t xml:space="preserve">XPA U 358C</t>
  </si>
  <si>
    <t xml:space="preserve">60-1762-01</t>
  </si>
  <si>
    <t xml:space="preserve">left:IEC C14:AC Power Input|left:5-Pin Captive Screw:Audio Inputs 1-2|left:5-Pin Captive Screw:Audio Inputs 3-4|left:5-Pin Captive Screw:Audio Inputs 5-6|left:5-Pin Captive Screw:Audio Inputs 7-8|right:2-Pin Captive Screw:HPF Control|right:2-Pin Captive Screw:Remote Standby|right:4-Pole Terminal Block:70V Speaker Outputs 1-2|right:4-Pole Terminal Block:70V Speaker Outputs 3-4|right:4-Pole Terminal Block:70V Speaker Outputs 5-6|right:4-Pole Terminal Block:70V Speaker Outputs 7-8</t>
  </si>
  <si>
    <t xml:space="preserve">70V combo-amplifier variant selected; 100V is 60-1762-11.</t>
  </si>
  <si>
    <t xml:space="preserve">XPA U 758</t>
  </si>
  <si>
    <t xml:space="preserve">60-1863-01</t>
  </si>
  <si>
    <t xml:space="preserve">1.2 A max @ 100 VAC</t>
  </si>
  <si>
    <t xml:space="preserve">XPA U 1002</t>
  </si>
  <si>
    <t xml:space="preserve">60-1761-01</t>
  </si>
  <si>
    <t xml:space="preserve">left:IEC C14:AC Power Input|left:4-Pin Captive Screw:Audio Inputs 1-2|right:2-Pin Captive Screw:Remote Standby|right:4-Pole Terminal Block:Speaker Outputs 1-2</t>
  </si>
  <si>
    <t xml:space="preserve">1.8 A max @ 100 VAC</t>
  </si>
  <si>
    <t xml:space="preserve">XPA U 1004</t>
  </si>
  <si>
    <t xml:space="preserve">60-1760-01</t>
  </si>
  <si>
    <t xml:space="preserve">left:IEC C14:AC Power Input|left:8-Pin Captive Screw:Audio Inputs 1-4|right:2-Pin Captive Screw:Remote Standby|right:8-Pole Terminal Block:Speaker Outputs 1-4</t>
  </si>
  <si>
    <t xml:space="preserve">MPA 152 Plus</t>
  </si>
  <si>
    <t xml:space="preserve">60-844-03</t>
  </si>
  <si>
    <t xml:space="preserve">left:2-Pin Captive Screw:12V DC Power Input|left:2x RCA:Stereo Audio Input L/R|left:3.5mm TRS:Stereo Audio Input|right:4-Pin Captive Screw:Balanced/Unbalanced Audio Input L/R|right:4-Pole Terminal Block:Speaker Outputs L/R|right:3-Pin Captive Screw:Remote Volume Control</t>
  </si>
  <si>
    <t xml:space="preserve">3.0 A max</t>
  </si>
  <si>
    <t xml:space="preserve">MPA 601</t>
  </si>
  <si>
    <t xml:space="preserve">60-1449-01</t>
  </si>
  <si>
    <t xml:space="preserve">left:2-Pin Captive Screw:12V DC Power Input|left:2x RCA:Stereo Audio Input L/R (Summed)|left:3.5mm TRS:Stereo Audio Input|left:5-Pin Captive Screw:Balanced/Unbalanced Audio Input L/R (Summed)|right:3-Pin Captive Screw:Standby Timer Control|right:3-Pin Captive Screw:Remote Volume Control|right:2-Pole Terminal Block:70V Speaker Output</t>
  </si>
  <si>
    <t xml:space="preserve">70V variant selected; 100V is 60-1449-11.</t>
  </si>
  <si>
    <t xml:space="preserve">XPA U 1004 SB</t>
  </si>
  <si>
    <t xml:space="preserve">60-1301-01</t>
  </si>
  <si>
    <t xml:space="preserve">left:IEC C14:AC Power Input|left:8-Pin Captive Screw:Audio Inputs 1-4|right:6-Pin Captive Screw:Remote Volume/Standby Control|right:8-Pole Terminal Block:Speaker Outputs 1-4</t>
  </si>
  <si>
    <t xml:space="preserve">XPA U 2002 SB</t>
  </si>
  <si>
    <t xml:space="preserve">60-1758-01</t>
  </si>
  <si>
    <t xml:space="preserve">left:IEC C14:AC Power Input|left:4-Pin Captive Screw:Audio Inputs 1-2|right:6-Pin Captive Screw:Remote Volume/Standby Control|right:4-Pole Terminal Block:Speaker Outputs 1-2</t>
  </si>
  <si>
    <t xml:space="preserve">XPA 1002</t>
  </si>
  <si>
    <t xml:space="preserve">60-849-01</t>
  </si>
  <si>
    <t xml:space="preserve">XPA 2001</t>
  </si>
  <si>
    <t xml:space="preserve">60-850-01</t>
  </si>
  <si>
    <t xml:space="preserve">left:IEC:AC Power Input|left:5-Pole Captive Screw Connector:Summed Stereo Audio Input|left:4-Pole Captive Screw Connector:Remote Volume / Standby|right:2-Pole Speaker Connector:70V Speaker Output</t>
  </si>
  <si>
    <t xml:space="preserve">70V variant selected; 100V is 60-850-11.</t>
  </si>
  <si>
    <t xml:space="preserve">XPA 2004</t>
  </si>
  <si>
    <t xml:space="preserve">60-563-02</t>
  </si>
  <si>
    <t xml:space="preserve">left:IEC:AC Power Input|left:2-Pole Captive Screw Connector:Standby Remote|left:4x 3-Pole Captive Screw Connector:Audio Inputs 1-4|right:2x 4-Pole Speaker Connector:Speaker Outputs 1-4 / Bridged Outputs A-B</t>
  </si>
  <si>
    <t xml:space="preserve">17.0 lb</t>
  </si>
  <si>
    <t xml:space="preserve">XPA 4002</t>
  </si>
  <si>
    <t xml:space="preserve">60-1244-01</t>
  </si>
  <si>
    <t xml:space="preserve">left:IEC:AC Power Input|left:2-Pole Captive Screw Connector:Standby Remote|left:2x 3-Pole Captive Screw Connector:Audio Inputs 1-2|right:4-Pole Speaker Connector:Speaker Outputs 1-2 / Bridged Output</t>
  </si>
  <si>
    <t xml:space="preserve">NetPA U 2004 FX</t>
  </si>
  <si>
    <t xml:space="preserve">left:IEC:AC Power Input|left:2x 6-Pole Captive Screw Connector:Line Inputs 1-4|left:2x 6-Pole Captive Screw Connector:Line Outputs 1-4|left:6-Pole Captive Screw Connector:I/O|left:5-Pole Captive Screw Connector:RS-232 / Standby Remote|right:4x 2-Pole Speaker Connector:Speaker Outputs 1-4|right:2x RJ45:Dante / LAN Ports</t>
  </si>
  <si>
    <t xml:space="preserve">NetPA U 2008 FX</t>
  </si>
  <si>
    <t xml:space="preserve">left:IEC:AC Power Input|left:4x 6-Pole Captive Screw Connector:Line Inputs 1-8|left:2x 6-Pole Captive Screw Connector:Line Outputs 1-4|left:6-Pole Captive Screw Connector:I/O|left:5-Pole Captive Screw Connector:RS-232 / Standby Remote|right:8x 2-Pole Speaker Connector:Speaker Outputs 1-8|right:2x RJ45:Dante / LAN Ports</t>
  </si>
  <si>
    <t xml:space="preserve">NetPA U 4004 FX</t>
  </si>
  <si>
    <t xml:space="preserve">60-2035-01</t>
  </si>
  <si>
    <t xml:space="preserve">NetPA U 8001 SUB</t>
  </si>
  <si>
    <t xml:space="preserve">60-1866-01</t>
  </si>
  <si>
    <t xml:space="preserve">left:IEC:AC Power Input|left:RJ45:Dante Input|left:USB Mini-B:Config|left:5-Pole Captive Screw Connector:RS-232 / Standby Remote|left:6-Pole Captive Screw Connector:Line Inputs 1-2|left:6-Pole Captive Screw Connector:Line Outputs 1-2|right:2-Pole Speaker Connector:Speaker Output</t>
  </si>
  <si>
    <t xml:space="preserve">NetPA U 1002</t>
  </si>
  <si>
    <t xml:space="preserve">60-1767-01</t>
  </si>
  <si>
    <t xml:space="preserve">left:IEC:AC Power Input|left:2x 6-Pole Captive Screw Connector:Mic/Line Inputs 1-4|left:6-Pole Captive Screw Connector:Line Outputs 1-2|right:5-Pole Captive Screw Connector:RS-232 / Standby Remote|right:USB Mini-B:Config|right:RJ45:Dante Input|right:4-Pole Speaker Connector:Speaker Outputs 1-2</t>
  </si>
  <si>
    <t xml:space="preserve">NetPA U 1004</t>
  </si>
  <si>
    <t xml:space="preserve">60-1766-01</t>
  </si>
  <si>
    <t xml:space="preserve">left:IEC:AC Power Input|left:2x 6-Pole Captive Screw Connector:Mic/Line Inputs 1-4|left:2x 6-Pole Captive Screw Connector:Line Outputs 1-4|right:5-Pole Captive Screw Connector:RS-232 / Standby Remote|right:USB Mini-B:Config|right:RJ45:Dante Input|right:2x 4-Pole Speaker Connector:Speaker Outputs 1-4</t>
  </si>
  <si>
    <t xml:space="preserve">NetPA U 2002 SB</t>
  </si>
  <si>
    <t xml:space="preserve">60-1757-01</t>
  </si>
  <si>
    <t xml:space="preserve">NetPA 1001-70V AT</t>
  </si>
  <si>
    <t xml:space="preserve">60-1501-01</t>
  </si>
  <si>
    <t xml:space="preserve">left:IEC:AC Power Input|left:3-Pole Captive Screw Connector:Line Output|right:2-Pole Captive Screw Connector:Standby Remote|right:RJ45:Dante Input|right:2-Pole Speaker Connector:70V Speaker Output</t>
  </si>
  <si>
    <t xml:space="preserve">USB Switcher and Extender</t>
  </si>
  <si>
    <t xml:space="preserve">USB Plus Matrix Ctrl</t>
  </si>
  <si>
    <t xml:space="preserve">42-267-01</t>
  </si>
  <si>
    <t xml:space="preserve">left:2-Pole Captive Screw Connector:Power Input|right:5-Pole Captive Screw Connector:RS-232|right:RJ45:LAN / PoE</t>
  </si>
  <si>
    <t xml:space="preserve">Actual model is USB Plus Matrix Controller.</t>
  </si>
  <si>
    <t xml:space="preserve">USB Ext Plus T</t>
  </si>
  <si>
    <t xml:space="preserve">60-1471-12</t>
  </si>
  <si>
    <t xml:space="preserve">left:2-Pole Captive Screw Connector:Power Input|left:USB-B:USB Host Input|right:RJ45:USB Extender Output</t>
  </si>
  <si>
    <t xml:space="preserve">Actual model is USB Extender Plus T.</t>
  </si>
  <si>
    <t xml:space="preserve">USB Ext Plus R</t>
  </si>
  <si>
    <t xml:space="preserve">60-1471-13</t>
  </si>
  <si>
    <t xml:space="preserve">left:2-Pole Captive Screw Connector:Power Input|left:RJ45:USB Extender Input|right:USB-A 1:USB Output 1|right:USB-A 2:USB Output 2|right:USB-A 3:USB Output 3|right:USB-A 4:USB Output 4</t>
  </si>
  <si>
    <t xml:space="preserve">Actual model is USB Extender Plus R.</t>
  </si>
  <si>
    <t xml:space="preserve">SW2 USB</t>
  </si>
  <si>
    <t xml:space="preserve">60-952-02</t>
  </si>
  <si>
    <t xml:space="preserve">left:2-Pole Captive Screw Connector:Power Input|left:USB-B 1:USB Input 1|left:USB-B 2:USB Input 2|right:USB-A 1:USB Output 1|right:USB-A 2:USB Output 2|right:USB-A 3:USB Output 3|right:USB-A 4:USB Output 4|right:3-Pole Captive Screw Connector:RS-232|right:3-Pole Captive Screw Connector:RS-232 Pass-Thru|right:3-Pole Captive Screw Connector:Contact Input</t>
  </si>
  <si>
    <t xml:space="preserve">SW4 USB Plus</t>
  </si>
  <si>
    <t xml:space="preserve">60-954-02</t>
  </si>
  <si>
    <t xml:space="preserve">left:2-Pole Captive Screw Connector:Power Input|left:USB-B 1:USB Input 1|left:USB-B 2:USB Input 2|left:USB-B 3:USB Input 3|left:USB-B 4:USB Input 4|right:USB-A 1:USB Output 1|right:USB-A 2:USB Output 2|right:USB-A 3:USB Output 3|right:USB-A 4:USB Output 4|right:3-Pole Captive Screw Connector:RS-232|right:3-Pole Captive Screw Connector:RS-232 Pass-Thru|right:5-Pole Captive Screw Connector:Contact Input</t>
  </si>
  <si>
    <t xml:space="preserve">USB-C to HDMI</t>
  </si>
  <si>
    <t xml:space="preserve">60-1883-01</t>
  </si>
  <si>
    <t xml:space="preserve">left:IEC:AC Power Input|right:USB-C:USB-C Input|right:HDMI:HDMI Output</t>
  </si>
  <si>
    <t xml:space="preserve">0.6”</t>
  </si>
  <si>
    <t xml:space="preserve">8.0”</t>
  </si>
  <si>
    <t xml:space="preserve">No — cable adapter</t>
  </si>
  <si>
    <t xml:space="preserve">5 VDC</t>
  </si>
  <si>
    <t xml:space="preserve">0.20 A max</t>
  </si>
  <si>
    <t xml:space="preserve">USB bus powered</t>
  </si>
  <si>
    <t xml:space="preserve">Mapped to USB-C HD 101 interface.</t>
  </si>
  <si>
    <t xml:space="preserve">UPI 100</t>
  </si>
  <si>
    <t xml:space="preserve">60-2062-01</t>
  </si>
  <si>
    <t xml:space="preserve">left:IEC:AC Power Input|right:2-Pole Power Connector:Power Output</t>
  </si>
  <si>
    <t xml:space="preserve">0.9 A max</t>
  </si>
  <si>
    <t xml:space="preserve">USB bus powered / external USB power</t>
  </si>
  <si>
    <t xml:space="preserve">Actual model is UPI 100 Power Inserter.</t>
  </si>
  <si>
    <t xml:space="preserve">FF 120T</t>
  </si>
  <si>
    <t xml:space="preserve">42-120-13</t>
  </si>
  <si>
    <t xml:space="preserve">left:7-Pole Euro-Style Captive Screw Terminal Block:Speaker Input</t>
  </si>
  <si>
    <t xml:space="preserve">13.0 lb</t>
  </si>
  <si>
    <t xml:space="preserve">SF 26CT</t>
  </si>
  <si>
    <t xml:space="preserve">60-1310-03</t>
  </si>
  <si>
    <t xml:space="preserve">left:2-Pole Captive Screw Connector:Speaker Input|right:2-Pole Captive Screw Connector:Speaker Loop-Out</t>
  </si>
  <si>
    <t xml:space="preserve">8.34"</t>
  </si>
  <si>
    <t xml:space="preserve">10.64"</t>
  </si>
  <si>
    <t xml:space="preserve">Circular product: physical size recorded as Height × Diameter.</t>
  </si>
  <si>
    <t xml:space="preserve">SF 26CT LP</t>
  </si>
  <si>
    <t xml:space="preserve">60-1881-03</t>
  </si>
  <si>
    <t xml:space="preserve">4.72"</t>
  </si>
  <si>
    <t xml:space="preserve">SF 26X</t>
  </si>
  <si>
    <t xml:space="preserve">60-1312-03</t>
  </si>
  <si>
    <t xml:space="preserve">12.6”</t>
  </si>
  <si>
    <t xml:space="preserve">8.5”</t>
  </si>
  <si>
    <t xml:space="preserve">7.0 lb</t>
  </si>
  <si>
    <t xml:space="preserve">SF 3C LP</t>
  </si>
  <si>
    <t xml:space="preserve">60-1311-13</t>
  </si>
  <si>
    <t xml:space="preserve">4.4"</t>
  </si>
  <si>
    <t xml:space="preserve">8.9"</t>
  </si>
  <si>
    <t xml:space="preserve">SF 3CT LP</t>
  </si>
  <si>
    <t xml:space="preserve">60-1311-03</t>
  </si>
  <si>
    <t xml:space="preserve">2.2 lb</t>
  </si>
  <si>
    <t xml:space="preserve">CS 123T</t>
  </si>
  <si>
    <t xml:space="preserve">42-242-03</t>
  </si>
  <si>
    <t xml:space="preserve">10.3"</t>
  </si>
  <si>
    <t xml:space="preserve">CS 1226T Plus</t>
  </si>
  <si>
    <t xml:space="preserve">42-244-03</t>
  </si>
  <si>
    <t xml:space="preserve">3.97"</t>
  </si>
  <si>
    <t xml:space="preserve">8.5 lb</t>
  </si>
  <si>
    <t xml:space="preserve">CS 3T</t>
  </si>
  <si>
    <t xml:space="preserve">60-1463-03</t>
  </si>
  <si>
    <t xml:space="preserve">5.1"</t>
  </si>
  <si>
    <t xml:space="preserve">5.0"</t>
  </si>
  <si>
    <t xml:space="preserve">CS 26T Plus</t>
  </si>
  <si>
    <t xml:space="preserve">60-1505-03</t>
  </si>
  <si>
    <t xml:space="preserve">SF 228T Plus</t>
  </si>
  <si>
    <t xml:space="preserve">60-1862-03</t>
  </si>
  <si>
    <t xml:space="preserve">left:3-Pole Splicing Connector:Speaker Input|right:3-Pole Splicing Connector:Speaker Loop-Through</t>
  </si>
  <si>
    <t xml:space="preserve">4.0”</t>
  </si>
  <si>
    <t xml:space="preserve">SF 26PT PoE</t>
  </si>
  <si>
    <t xml:space="preserve">60-2056-13</t>
  </si>
  <si>
    <t xml:space="preserve">left:RJ45:Dante / PoE++ Input|right:2-Pole Speaker Connector 1:Speaker Output 1|right:2-Pole Speaker Connector 2:Speaker Output 2|right:2-Pole Speaker Connector 3:Speaker Output 3</t>
  </si>
  <si>
    <t xml:space="preserve">11.0"</t>
  </si>
  <si>
    <t xml:space="preserve">12.0"</t>
  </si>
  <si>
    <t xml:space="preserve">9.5 lb</t>
  </si>
  <si>
    <t xml:space="preserve">No SF 26PT PoE product exists; closest current Extron PoE/Dante speaker is one powered NF 4C LP with Dante and DSP. Verify design intent before ordering. Circular product: physical size recorded as Height × Diameter.</t>
  </si>
  <si>
    <t xml:space="preserve">SF 3PT</t>
  </si>
  <si>
    <t xml:space="preserve">60-1736-12</t>
  </si>
  <si>
    <t xml:space="preserve">left:Speaker Connector:Input|right:Speaker Connector:Output</t>
  </si>
  <si>
    <t xml:space="preserve">6.83"</t>
  </si>
  <si>
    <t xml:space="preserve">5.31"</t>
  </si>
  <si>
    <t xml:space="preserve">Current black pair selected; current white is 60-1736-13. Circular product: physical size recorded as Height × Diameter.</t>
  </si>
  <si>
    <t xml:space="preserve">SF 26PT</t>
  </si>
  <si>
    <t xml:space="preserve">60-1752-02</t>
  </si>
  <si>
    <t xml:space="preserve">11.62"</t>
  </si>
  <si>
    <t xml:space="preserve">9.02"</t>
  </si>
  <si>
    <t xml:space="preserve">Black pair selected; white is 60-1752-03. Circular product: physical size recorded as Height × Diameter.</t>
  </si>
  <si>
    <t xml:space="preserve">SF 28PT</t>
  </si>
  <si>
    <t xml:space="preserve">60-1946-02</t>
  </si>
  <si>
    <t xml:space="preserve">13.30"</t>
  </si>
  <si>
    <t xml:space="preserve">11.00"</t>
  </si>
  <si>
    <t xml:space="preserve">14.0 lb</t>
  </si>
  <si>
    <t xml:space="preserve">Black pair selected; white is 60-1946-03. Circular product: physical size recorded as Height × Diameter.</t>
  </si>
  <si>
    <t xml:space="preserve">SM 3</t>
  </si>
  <si>
    <t xml:space="preserve">42-133-02</t>
  </si>
  <si>
    <t xml:space="preserve">left:2-Pole 10mm Euro-Style Captive Screw:Input</t>
  </si>
  <si>
    <t xml:space="preserve">7.6”</t>
  </si>
  <si>
    <t xml:space="preserve">5.0”</t>
  </si>
  <si>
    <t xml:space="preserve">5.2”</t>
  </si>
  <si>
    <t xml:space="preserve">Black pair selected; white is 42-133-03.</t>
  </si>
  <si>
    <t xml:space="preserve">SM 26</t>
  </si>
  <si>
    <t xml:space="preserve">60-1308-02</t>
  </si>
  <si>
    <t xml:space="preserve">left:2-Pole 5mm Captive Screw:Speaker Input|right:2-Pole 5mm Captive Screw:Speaker Loop-Through</t>
  </si>
  <si>
    <t xml:space="preserve">Black pair selected; white is 60-1308-03.</t>
  </si>
  <si>
    <t xml:space="preserve">SM 28</t>
  </si>
  <si>
    <t xml:space="preserve">60-1309-02</t>
  </si>
  <si>
    <t xml:space="preserve">10.0”</t>
  </si>
  <si>
    <t xml:space="preserve">Black pair selected; white is 60-1309-03.</t>
  </si>
  <si>
    <t xml:space="preserve">Subwoofer</t>
  </si>
  <si>
    <t xml:space="preserve">CS 68T Sub</t>
  </si>
  <si>
    <t xml:space="preserve">60-1941-03</t>
  </si>
  <si>
    <t xml:space="preserve">16.0”</t>
  </si>
  <si>
    <t xml:space="preserve">No exact CS 68T Sub SKU found; mapped to closest current 70/100V in-ceiling subwoofer, SF 8CT SUB.</t>
  </si>
  <si>
    <t xml:space="preserve">DA2 HD 8K AE</t>
  </si>
  <si>
    <t xml:space="preserve">60-1870-12</t>
  </si>
  <si>
    <t xml:space="preserve">left:2-Pin Captive Screw:12V DC Power Input|left:HDMI:HDMI Input|right:2x HDMI:HDMI Outputs 1-2|right:5-Pin Captive Screw:Analog Audio Output L/R</t>
  </si>
  <si>
    <t xml:space="preserve">DA2 HD 8K AI</t>
  </si>
  <si>
    <t xml:space="preserve">60-1870-13</t>
  </si>
  <si>
    <t xml:space="preserve">left:2-Pin Captive Screw:12V DC Power Input|left:HDMI:HDMI Input|right:2x HDMI:HDMI Outputs 1-2|right:5-Pin Captive Screw:Analog Audio Input L/R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</si>
</sst>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_(* #,##0_);_(* \(#,##0\);_(* \-_);_(@_)"/>
    <numFmt numFmtId="167" formatCode="_(\$* #,##0.00_);_(\$* \(#,##0.00\);_(\$* \-??_);_(@_)"/>
    <numFmt numFmtId="168" formatCode="_(\$* #,##0_);_(\$* \(#,##0\);_(\$* \-_);_(@_)"/>
    <numFmt numFmtId="169" formatCode="0%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3FAF46"/>
      <name val="Arial"/>
      <family val="0"/>
      <charset val="1"/>
    </font>
    <font>
      <sz val="10"/>
      <color rgb="FF000000"/>
      <name val="Arial"/>
      <family val="0"/>
    </font>
    <font>
      <sz val="10"/>
      <color rgb="FF3FAF46"/>
      <name val="Times New Roman"/>
      <family val="1"/>
      <charset val="1"/>
    </font>
    <font>
      <sz val="10"/>
      <color rgb="FF3FAF46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Percen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0" activeCellId="0" sqref="D30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1" width="26.12"/>
    <col collapsed="false" customWidth="true" hidden="false" outlineLevel="0" max="3" min="3" style="1" width="21.75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2" width="3.05"/>
    <col collapsed="false" customWidth="true" hidden="false" outlineLevel="0" max="8" min="7" style="2" width="3.89"/>
    <col collapsed="false" customWidth="true" hidden="false" outlineLevel="0" max="9" min="9" style="2" width="4.45"/>
    <col collapsed="false" customWidth="false" hidden="false" outlineLevel="0" max="10" min="10" style="2" width="12.63"/>
    <col collapsed="false" customWidth="true" hidden="false" outlineLevel="0" max="11" min="11" style="1" width="115.89"/>
    <col collapsed="false" customWidth="true" hidden="false" outlineLevel="0" max="16" min="12" style="1" width="12"/>
    <col collapsed="false" customWidth="true" hidden="false" outlineLevel="0" max="17" min="17" style="1" width="24"/>
    <col collapsed="false" customWidth="true" hidden="false" outlineLevel="0" max="18" min="18" style="1" width="20"/>
    <col collapsed="false" customWidth="true" hidden="false" outlineLevel="0" max="19" min="19" style="1" width="30"/>
    <col collapsed="false" customWidth="true" hidden="false" outlineLevel="0" max="20" min="20" style="1" width="12"/>
    <col collapsed="false" customWidth="true" hidden="false" outlineLevel="0" max="22" min="21" style="1" width="22"/>
    <col collapsed="false" customWidth="true" hidden="false" outlineLevel="0" max="24" min="23" style="1" width="18"/>
    <col collapsed="false" customWidth="true" hidden="false" outlineLevel="0" max="25" min="25" style="1" width="24"/>
    <col collapsed="false" customWidth="true" hidden="false" outlineLevel="0" max="26" min="26" style="1" width="40"/>
    <col collapsed="false" customWidth="true" hidden="false" outlineLevel="0" max="27" min="27" style="1" width="34"/>
  </cols>
  <sheetData>
    <row r="1" s="1" customFormat="tru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</row>
    <row r="2" s="1" customFormat="true" ht="15.75" hidden="false" customHeight="true" outlineLevel="0" collapsed="false">
      <c r="A2" s="5" t="s">
        <v>26</v>
      </c>
      <c r="B2" s="5" t="s">
        <v>27</v>
      </c>
      <c r="C2" s="5" t="s">
        <v>28</v>
      </c>
      <c r="D2" s="1" t="s">
        <v>29</v>
      </c>
      <c r="E2" s="1" t="n">
        <v>4120</v>
      </c>
      <c r="J2" s="6" t="s">
        <v>30</v>
      </c>
      <c r="K2" s="5" t="s">
        <v>31</v>
      </c>
      <c r="L2" s="3" t="s">
        <v>32</v>
      </c>
      <c r="M2" s="3" t="s">
        <v>33</v>
      </c>
      <c r="N2" s="3" t="s">
        <v>34</v>
      </c>
      <c r="O2" s="3"/>
      <c r="P2" s="3" t="s">
        <v>35</v>
      </c>
      <c r="Q2" s="3" t="s">
        <v>36</v>
      </c>
      <c r="R2" s="3" t="s">
        <v>37</v>
      </c>
      <c r="S2" s="3" t="s">
        <v>38</v>
      </c>
      <c r="T2" s="3" t="s">
        <v>39</v>
      </c>
      <c r="U2" s="3" t="s">
        <v>40</v>
      </c>
      <c r="V2" s="3" t="s">
        <v>41</v>
      </c>
      <c r="W2" s="3" t="n">
        <v>100</v>
      </c>
      <c r="X2" s="3" t="n">
        <f aca="false">IF(ISNUMBER(W2),W2*3.412142,"")</f>
        <v>341.2142</v>
      </c>
      <c r="Y2" s="3" t="s">
        <v>42</v>
      </c>
      <c r="Z2" s="4"/>
    </row>
    <row r="3" s="1" customFormat="true" ht="15.75" hidden="false" customHeight="true" outlineLevel="0" collapsed="false">
      <c r="A3" s="5" t="s">
        <v>26</v>
      </c>
      <c r="B3" s="5" t="s">
        <v>27</v>
      </c>
      <c r="C3" s="5" t="s">
        <v>43</v>
      </c>
      <c r="D3" s="1" t="s">
        <v>44</v>
      </c>
      <c r="E3" s="1" t="n">
        <v>2930</v>
      </c>
      <c r="J3" s="6" t="s">
        <v>30</v>
      </c>
      <c r="K3" s="5" t="s">
        <v>45</v>
      </c>
      <c r="L3" s="3" t="s">
        <v>46</v>
      </c>
      <c r="M3" s="3" t="s">
        <v>47</v>
      </c>
      <c r="N3" s="3" t="s">
        <v>48</v>
      </c>
      <c r="O3" s="3"/>
      <c r="P3" s="3" t="s">
        <v>49</v>
      </c>
      <c r="Q3" s="3" t="s">
        <v>36</v>
      </c>
      <c r="R3" s="3" t="s">
        <v>37</v>
      </c>
      <c r="S3" s="3" t="s">
        <v>38</v>
      </c>
      <c r="T3" s="3" t="s">
        <v>39</v>
      </c>
      <c r="U3" s="3" t="s">
        <v>40</v>
      </c>
      <c r="V3" s="3" t="s">
        <v>41</v>
      </c>
      <c r="W3" s="3" t="n">
        <v>100</v>
      </c>
      <c r="X3" s="3" t="n">
        <f aca="false">IF(ISNUMBER(W3),W3*3.412142,"")</f>
        <v>341.2142</v>
      </c>
      <c r="Y3" s="3" t="s">
        <v>42</v>
      </c>
      <c r="Z3" s="4"/>
    </row>
    <row r="4" s="1" customFormat="true" ht="15.75" hidden="false" customHeight="true" outlineLevel="0" collapsed="false">
      <c r="A4" s="5" t="s">
        <v>50</v>
      </c>
      <c r="B4" s="5" t="s">
        <v>27</v>
      </c>
      <c r="C4" s="5" t="s">
        <v>51</v>
      </c>
      <c r="D4" s="1" t="s">
        <v>52</v>
      </c>
      <c r="E4" s="1" t="n">
        <v>5990</v>
      </c>
      <c r="J4" s="6" t="s">
        <v>30</v>
      </c>
      <c r="K4" s="5" t="s">
        <v>53</v>
      </c>
      <c r="L4" s="3" t="s">
        <v>54</v>
      </c>
      <c r="M4" s="3" t="s">
        <v>55</v>
      </c>
      <c r="N4" s="3" t="s">
        <v>56</v>
      </c>
      <c r="O4" s="3"/>
      <c r="P4" s="3" t="s">
        <v>57</v>
      </c>
      <c r="Q4" s="3" t="s">
        <v>36</v>
      </c>
      <c r="R4" s="3" t="s">
        <v>37</v>
      </c>
      <c r="S4" s="3" t="s">
        <v>38</v>
      </c>
      <c r="T4" s="3" t="s">
        <v>39</v>
      </c>
      <c r="U4" s="3" t="s">
        <v>40</v>
      </c>
      <c r="V4" s="3" t="s">
        <v>41</v>
      </c>
      <c r="W4" s="3" t="n">
        <v>100</v>
      </c>
      <c r="X4" s="3" t="n">
        <f aca="false">IF(ISNUMBER(W4),W4*3.412142,"")</f>
        <v>341.2142</v>
      </c>
      <c r="Y4" s="3" t="s">
        <v>42</v>
      </c>
      <c r="Z4" s="4"/>
    </row>
    <row r="5" s="1" customFormat="true" ht="15.75" hidden="false" customHeight="true" outlineLevel="0" collapsed="false">
      <c r="A5" s="5" t="s">
        <v>50</v>
      </c>
      <c r="B5" s="5" t="s">
        <v>27</v>
      </c>
      <c r="C5" s="5" t="s">
        <v>58</v>
      </c>
      <c r="D5" s="1" t="s">
        <v>59</v>
      </c>
      <c r="E5" s="1" t="n">
        <v>12590</v>
      </c>
      <c r="J5" s="6" t="s">
        <v>30</v>
      </c>
      <c r="K5" s="5" t="s">
        <v>60</v>
      </c>
      <c r="L5" s="3" t="s">
        <v>61</v>
      </c>
      <c r="M5" s="3" t="s">
        <v>62</v>
      </c>
      <c r="N5" s="3" t="s">
        <v>63</v>
      </c>
      <c r="O5" s="3"/>
      <c r="P5" s="3" t="s">
        <v>64</v>
      </c>
      <c r="Q5" s="3" t="s">
        <v>65</v>
      </c>
      <c r="R5" s="3" t="s">
        <v>66</v>
      </c>
      <c r="S5" s="3" t="s">
        <v>67</v>
      </c>
      <c r="T5" s="3" t="s">
        <v>68</v>
      </c>
      <c r="U5" s="3" t="s">
        <v>40</v>
      </c>
      <c r="V5" s="3" t="s">
        <v>69</v>
      </c>
      <c r="W5" s="3" t="n">
        <v>250</v>
      </c>
      <c r="X5" s="3" t="n">
        <f aca="false">IF(ISNUMBER(W5),W5*3.412142,"")</f>
        <v>853.0355</v>
      </c>
      <c r="Y5" s="3" t="s">
        <v>42</v>
      </c>
      <c r="Z5" s="4"/>
    </row>
    <row r="6" s="1" customFormat="true" ht="15.75" hidden="false" customHeight="true" outlineLevel="0" collapsed="false">
      <c r="A6" s="5" t="s">
        <v>50</v>
      </c>
      <c r="B6" s="5" t="s">
        <v>27</v>
      </c>
      <c r="C6" s="5" t="s">
        <v>70</v>
      </c>
      <c r="D6" s="1" t="s">
        <v>71</v>
      </c>
      <c r="E6" s="1" t="n">
        <v>14690</v>
      </c>
      <c r="J6" s="6" t="s">
        <v>30</v>
      </c>
      <c r="K6" s="5" t="s">
        <v>72</v>
      </c>
      <c r="L6" s="3" t="s">
        <v>61</v>
      </c>
      <c r="M6" s="3" t="s">
        <v>62</v>
      </c>
      <c r="N6" s="3" t="s">
        <v>63</v>
      </c>
      <c r="O6" s="3"/>
      <c r="P6" s="3" t="s">
        <v>64</v>
      </c>
      <c r="Q6" s="3" t="s">
        <v>65</v>
      </c>
      <c r="R6" s="3" t="s">
        <v>66</v>
      </c>
      <c r="S6" s="3" t="s">
        <v>67</v>
      </c>
      <c r="T6" s="3" t="s">
        <v>68</v>
      </c>
      <c r="U6" s="3" t="s">
        <v>40</v>
      </c>
      <c r="V6" s="3" t="s">
        <v>69</v>
      </c>
      <c r="W6" s="3" t="n">
        <v>250</v>
      </c>
      <c r="X6" s="3" t="n">
        <f aca="false">IF(ISNUMBER(W6),W6*3.412142,"")</f>
        <v>853.0355</v>
      </c>
      <c r="Y6" s="3" t="s">
        <v>42</v>
      </c>
      <c r="Z6" s="4"/>
    </row>
    <row r="7" s="1" customFormat="true" ht="15.75" hidden="false" customHeight="true" outlineLevel="0" collapsed="false">
      <c r="A7" s="5" t="s">
        <v>50</v>
      </c>
      <c r="B7" s="5" t="s">
        <v>27</v>
      </c>
      <c r="C7" s="5" t="s">
        <v>73</v>
      </c>
      <c r="D7" s="1" t="s">
        <v>74</v>
      </c>
      <c r="E7" s="1" t="n">
        <v>16790</v>
      </c>
      <c r="J7" s="6" t="s">
        <v>30</v>
      </c>
      <c r="K7" s="5" t="s">
        <v>75</v>
      </c>
      <c r="L7" s="3" t="s">
        <v>61</v>
      </c>
      <c r="M7" s="3" t="s">
        <v>62</v>
      </c>
      <c r="N7" s="3" t="s">
        <v>63</v>
      </c>
      <c r="O7" s="3"/>
      <c r="P7" s="3" t="s">
        <v>64</v>
      </c>
      <c r="Q7" s="3" t="s">
        <v>65</v>
      </c>
      <c r="R7" s="3" t="s">
        <v>66</v>
      </c>
      <c r="S7" s="3" t="s">
        <v>67</v>
      </c>
      <c r="T7" s="3" t="s">
        <v>68</v>
      </c>
      <c r="U7" s="3" t="s">
        <v>40</v>
      </c>
      <c r="V7" s="3" t="s">
        <v>69</v>
      </c>
      <c r="W7" s="3" t="n">
        <v>250</v>
      </c>
      <c r="X7" s="3" t="n">
        <f aca="false">IF(ISNUMBER(W7),W7*3.412142,"")</f>
        <v>853.0355</v>
      </c>
      <c r="Y7" s="3" t="s">
        <v>42</v>
      </c>
      <c r="Z7" s="4"/>
    </row>
    <row r="8" s="1" customFormat="true" ht="15.75" hidden="false" customHeight="true" outlineLevel="0" collapsed="false">
      <c r="A8" s="5" t="s">
        <v>50</v>
      </c>
      <c r="B8" s="5" t="s">
        <v>27</v>
      </c>
      <c r="C8" s="5" t="s">
        <v>76</v>
      </c>
      <c r="D8" s="1" t="s">
        <v>77</v>
      </c>
      <c r="E8" s="1" t="n">
        <v>23090</v>
      </c>
      <c r="J8" s="6" t="s">
        <v>30</v>
      </c>
      <c r="K8" s="5" t="s">
        <v>78</v>
      </c>
      <c r="L8" s="3" t="s">
        <v>61</v>
      </c>
      <c r="M8" s="3" t="s">
        <v>62</v>
      </c>
      <c r="N8" s="3" t="s">
        <v>63</v>
      </c>
      <c r="O8" s="3"/>
      <c r="P8" s="3" t="s">
        <v>64</v>
      </c>
      <c r="Q8" s="3" t="s">
        <v>65</v>
      </c>
      <c r="R8" s="3" t="s">
        <v>66</v>
      </c>
      <c r="S8" s="3" t="s">
        <v>67</v>
      </c>
      <c r="T8" s="3" t="s">
        <v>68</v>
      </c>
      <c r="U8" s="3" t="s">
        <v>40</v>
      </c>
      <c r="V8" s="3" t="s">
        <v>79</v>
      </c>
      <c r="W8" s="3" t="n">
        <v>400</v>
      </c>
      <c r="X8" s="3" t="n">
        <f aca="false">IF(ISNUMBER(W8),W8*3.412142,"")</f>
        <v>1364.8568</v>
      </c>
      <c r="Y8" s="3" t="s">
        <v>42</v>
      </c>
      <c r="Z8" s="4"/>
    </row>
    <row r="9" s="1" customFormat="true" ht="15.75" hidden="false" customHeight="true" outlineLevel="0" collapsed="false">
      <c r="A9" s="5" t="s">
        <v>50</v>
      </c>
      <c r="B9" s="5" t="s">
        <v>27</v>
      </c>
      <c r="C9" s="5" t="s">
        <v>80</v>
      </c>
      <c r="D9" s="1" t="s">
        <v>81</v>
      </c>
      <c r="E9" s="1" t="n">
        <v>12160</v>
      </c>
      <c r="J9" s="6" t="s">
        <v>30</v>
      </c>
      <c r="K9" s="5" t="s">
        <v>82</v>
      </c>
      <c r="L9" s="3" t="s">
        <v>61</v>
      </c>
      <c r="M9" s="3" t="s">
        <v>62</v>
      </c>
      <c r="N9" s="3" t="s">
        <v>63</v>
      </c>
      <c r="O9" s="3"/>
      <c r="P9" s="3" t="s">
        <v>64</v>
      </c>
      <c r="Q9" s="3" t="s">
        <v>65</v>
      </c>
      <c r="R9" s="3" t="s">
        <v>66</v>
      </c>
      <c r="S9" s="3" t="s">
        <v>67</v>
      </c>
      <c r="T9" s="3" t="s">
        <v>68</v>
      </c>
      <c r="U9" s="3" t="s">
        <v>40</v>
      </c>
      <c r="V9" s="3" t="s">
        <v>69</v>
      </c>
      <c r="W9" s="3" t="n">
        <v>250</v>
      </c>
      <c r="X9" s="3" t="n">
        <f aca="false">IF(ISNUMBER(W9),W9*3.412142,"")</f>
        <v>853.0355</v>
      </c>
      <c r="Y9" s="3" t="s">
        <v>42</v>
      </c>
      <c r="Z9" s="4"/>
    </row>
    <row r="10" s="1" customFormat="true" ht="15.75" hidden="false" customHeight="true" outlineLevel="0" collapsed="false">
      <c r="A10" s="5" t="s">
        <v>50</v>
      </c>
      <c r="B10" s="5" t="s">
        <v>27</v>
      </c>
      <c r="C10" s="5" t="s">
        <v>83</v>
      </c>
      <c r="D10" s="1" t="s">
        <v>84</v>
      </c>
      <c r="E10" s="1" t="n">
        <v>19450</v>
      </c>
      <c r="J10" s="6" t="s">
        <v>30</v>
      </c>
      <c r="K10" s="5" t="s">
        <v>85</v>
      </c>
      <c r="L10" s="3" t="s">
        <v>86</v>
      </c>
      <c r="M10" s="3" t="s">
        <v>62</v>
      </c>
      <c r="N10" s="3" t="s">
        <v>63</v>
      </c>
      <c r="O10" s="3"/>
      <c r="P10" s="3" t="s">
        <v>87</v>
      </c>
      <c r="Q10" s="3" t="s">
        <v>65</v>
      </c>
      <c r="R10" s="3" t="s">
        <v>66</v>
      </c>
      <c r="S10" s="3" t="s">
        <v>67</v>
      </c>
      <c r="T10" s="3" t="s">
        <v>88</v>
      </c>
      <c r="U10" s="3" t="s">
        <v>40</v>
      </c>
      <c r="V10" s="3" t="s">
        <v>79</v>
      </c>
      <c r="W10" s="3" t="n">
        <v>400</v>
      </c>
      <c r="X10" s="3" t="n">
        <f aca="false">IF(ISNUMBER(W10),W10*3.412142,"")</f>
        <v>1364.8568</v>
      </c>
      <c r="Y10" s="3" t="s">
        <v>42</v>
      </c>
      <c r="Z10" s="4"/>
    </row>
    <row r="11" s="1" customFormat="true" ht="15.75" hidden="false" customHeight="true" outlineLevel="0" collapsed="false">
      <c r="A11" s="5" t="s">
        <v>50</v>
      </c>
      <c r="B11" s="5" t="s">
        <v>27</v>
      </c>
      <c r="C11" s="5" t="s">
        <v>89</v>
      </c>
      <c r="D11" s="1" t="s">
        <v>90</v>
      </c>
      <c r="E11" s="1" t="n">
        <v>16210</v>
      </c>
      <c r="J11" s="6" t="s">
        <v>30</v>
      </c>
      <c r="K11" s="5" t="s">
        <v>91</v>
      </c>
      <c r="L11" s="3" t="s">
        <v>86</v>
      </c>
      <c r="M11" s="3" t="s">
        <v>62</v>
      </c>
      <c r="N11" s="3" t="s">
        <v>92</v>
      </c>
      <c r="O11" s="3"/>
      <c r="P11" s="3" t="s">
        <v>93</v>
      </c>
      <c r="Q11" s="3" t="s">
        <v>65</v>
      </c>
      <c r="R11" s="3" t="s">
        <v>66</v>
      </c>
      <c r="S11" s="3" t="s">
        <v>67</v>
      </c>
      <c r="T11" s="3" t="s">
        <v>88</v>
      </c>
      <c r="U11" s="3" t="s">
        <v>40</v>
      </c>
      <c r="V11" s="3" t="s">
        <v>79</v>
      </c>
      <c r="W11" s="3" t="n">
        <v>400</v>
      </c>
      <c r="X11" s="3" t="n">
        <f aca="false">IF(ISNUMBER(W11),W11*3.412142,"")</f>
        <v>1364.8568</v>
      </c>
      <c r="Y11" s="3" t="s">
        <v>42</v>
      </c>
      <c r="Z11" s="4"/>
    </row>
    <row r="12" s="1" customFormat="true" ht="15.75" hidden="false" customHeight="true" outlineLevel="0" collapsed="false">
      <c r="A12" s="5" t="s">
        <v>50</v>
      </c>
      <c r="B12" s="5" t="s">
        <v>27</v>
      </c>
      <c r="C12" s="5" t="s">
        <v>94</v>
      </c>
      <c r="D12" s="1" t="s">
        <v>95</v>
      </c>
      <c r="E12" s="1" t="n">
        <v>26670</v>
      </c>
      <c r="J12" s="6" t="s">
        <v>30</v>
      </c>
      <c r="K12" s="5" t="s">
        <v>91</v>
      </c>
      <c r="L12" s="3" t="s">
        <v>47</v>
      </c>
      <c r="M12" s="3" t="s">
        <v>62</v>
      </c>
      <c r="N12" s="3" t="s">
        <v>92</v>
      </c>
      <c r="O12" s="3"/>
      <c r="P12" s="3" t="s">
        <v>96</v>
      </c>
      <c r="Q12" s="3" t="s">
        <v>65</v>
      </c>
      <c r="R12" s="3" t="s">
        <v>66</v>
      </c>
      <c r="S12" s="3" t="s">
        <v>67</v>
      </c>
      <c r="T12" s="3" t="s">
        <v>97</v>
      </c>
      <c r="U12" s="3" t="s">
        <v>40</v>
      </c>
      <c r="V12" s="3" t="s">
        <v>98</v>
      </c>
      <c r="W12" s="3" t="n">
        <v>800</v>
      </c>
      <c r="X12" s="3" t="n">
        <f aca="false">IF(ISNUMBER(W12),W12*3.412142,"")</f>
        <v>2729.7136</v>
      </c>
      <c r="Y12" s="3" t="s">
        <v>42</v>
      </c>
      <c r="Z12" s="4"/>
    </row>
    <row r="13" s="1" customFormat="true" ht="15.75" hidden="false" customHeight="true" outlineLevel="0" collapsed="false">
      <c r="A13" s="5" t="s">
        <v>50</v>
      </c>
      <c r="B13" s="5" t="s">
        <v>27</v>
      </c>
      <c r="C13" s="5" t="s">
        <v>99</v>
      </c>
      <c r="D13" s="1" t="s">
        <v>100</v>
      </c>
      <c r="E13" s="1" t="n">
        <v>48500</v>
      </c>
      <c r="J13" s="6" t="s">
        <v>30</v>
      </c>
      <c r="K13" s="5" t="s">
        <v>91</v>
      </c>
      <c r="L13" s="3" t="s">
        <v>101</v>
      </c>
      <c r="M13" s="3" t="s">
        <v>62</v>
      </c>
      <c r="N13" s="3" t="s">
        <v>92</v>
      </c>
      <c r="O13" s="3"/>
      <c r="P13" s="3" t="s">
        <v>102</v>
      </c>
      <c r="Q13" s="3" t="s">
        <v>65</v>
      </c>
      <c r="R13" s="3" t="s">
        <v>66</v>
      </c>
      <c r="S13" s="3" t="s">
        <v>67</v>
      </c>
      <c r="T13" s="3" t="s">
        <v>103</v>
      </c>
      <c r="U13" s="3" t="s">
        <v>40</v>
      </c>
      <c r="V13" s="3" t="s">
        <v>104</v>
      </c>
      <c r="W13" s="3" t="n">
        <v>1200</v>
      </c>
      <c r="X13" s="3" t="n">
        <f aca="false">IF(ISNUMBER(W13),W13*3.412142,"")</f>
        <v>4094.5704</v>
      </c>
      <c r="Y13" s="3" t="s">
        <v>105</v>
      </c>
      <c r="Z13" s="4" t="s">
        <v>106</v>
      </c>
    </row>
    <row r="14" s="1" customFormat="true" ht="15.75" hidden="false" customHeight="true" outlineLevel="0" collapsed="false">
      <c r="A14" s="5" t="s">
        <v>50</v>
      </c>
      <c r="B14" s="5" t="s">
        <v>27</v>
      </c>
      <c r="C14" s="5" t="s">
        <v>107</v>
      </c>
      <c r="D14" s="1" t="s">
        <v>108</v>
      </c>
      <c r="E14" s="1" t="n">
        <v>6670</v>
      </c>
      <c r="J14" s="6" t="s">
        <v>30</v>
      </c>
      <c r="K14" s="5" t="s">
        <v>109</v>
      </c>
      <c r="L14" s="3" t="s">
        <v>54</v>
      </c>
      <c r="M14" s="3" t="s">
        <v>62</v>
      </c>
      <c r="N14" s="3" t="s">
        <v>110</v>
      </c>
      <c r="O14" s="3"/>
      <c r="P14" s="3" t="s">
        <v>111</v>
      </c>
      <c r="Q14" s="3" t="s">
        <v>65</v>
      </c>
      <c r="R14" s="3" t="s">
        <v>66</v>
      </c>
      <c r="S14" s="3" t="s">
        <v>67</v>
      </c>
      <c r="T14" s="3" t="s">
        <v>39</v>
      </c>
      <c r="U14" s="3" t="s">
        <v>40</v>
      </c>
      <c r="V14" s="3" t="s">
        <v>69</v>
      </c>
      <c r="W14" s="3" t="n">
        <v>250</v>
      </c>
      <c r="X14" s="3" t="n">
        <f aca="false">IF(ISNUMBER(W14),W14*3.412142,"")</f>
        <v>853.0355</v>
      </c>
      <c r="Y14" s="3" t="s">
        <v>42</v>
      </c>
      <c r="Z14" s="4"/>
      <c r="AB14" s="7"/>
      <c r="AC14" s="7"/>
      <c r="AD14" s="7"/>
      <c r="AE14" s="7"/>
    </row>
    <row r="15" s="1" customFormat="true" ht="15.75" hidden="false" customHeight="true" outlineLevel="0" collapsed="false">
      <c r="A15" s="5" t="s">
        <v>50</v>
      </c>
      <c r="B15" s="5" t="s">
        <v>27</v>
      </c>
      <c r="C15" s="5" t="s">
        <v>112</v>
      </c>
      <c r="D15" s="1" t="s">
        <v>113</v>
      </c>
      <c r="E15" s="1" t="n">
        <v>4600</v>
      </c>
      <c r="J15" s="6" t="s">
        <v>30</v>
      </c>
      <c r="K15" s="5" t="s">
        <v>114</v>
      </c>
      <c r="L15" s="3" t="s">
        <v>54</v>
      </c>
      <c r="M15" s="3" t="s">
        <v>55</v>
      </c>
      <c r="N15" s="3" t="s">
        <v>115</v>
      </c>
      <c r="O15" s="3"/>
      <c r="P15" s="3" t="s">
        <v>116</v>
      </c>
      <c r="Q15" s="3" t="s">
        <v>36</v>
      </c>
      <c r="R15" s="3" t="s">
        <v>37</v>
      </c>
      <c r="S15" s="3" t="s">
        <v>38</v>
      </c>
      <c r="T15" s="3" t="s">
        <v>39</v>
      </c>
      <c r="U15" s="3" t="s">
        <v>40</v>
      </c>
      <c r="V15" s="3" t="s">
        <v>41</v>
      </c>
      <c r="W15" s="3" t="n">
        <v>100</v>
      </c>
      <c r="X15" s="3" t="n">
        <f aca="false">IF(ISNUMBER(W15),W15*3.412142,"")</f>
        <v>341.2142</v>
      </c>
      <c r="Y15" s="3" t="s">
        <v>42</v>
      </c>
      <c r="Z15" s="4" t="s">
        <v>117</v>
      </c>
      <c r="AB15" s="7"/>
      <c r="AC15" s="7"/>
      <c r="AD15" s="7"/>
      <c r="AE15" s="7"/>
    </row>
    <row r="16" s="1" customFormat="true" ht="15.75" hidden="false" customHeight="true" outlineLevel="0" collapsed="false">
      <c r="A16" s="5" t="s">
        <v>118</v>
      </c>
      <c r="B16" s="5" t="s">
        <v>27</v>
      </c>
      <c r="C16" s="5" t="s">
        <v>119</v>
      </c>
      <c r="D16" s="1" t="s">
        <v>120</v>
      </c>
      <c r="E16" s="1" t="n">
        <v>890</v>
      </c>
      <c r="J16" s="6" t="s">
        <v>30</v>
      </c>
      <c r="K16" s="5" t="s">
        <v>121</v>
      </c>
      <c r="L16" s="3" t="s">
        <v>46</v>
      </c>
      <c r="M16" s="3" t="s">
        <v>122</v>
      </c>
      <c r="N16" s="3" t="s">
        <v>48</v>
      </c>
      <c r="O16" s="3"/>
      <c r="P16" s="3" t="s">
        <v>123</v>
      </c>
      <c r="Q16" s="3" t="s">
        <v>36</v>
      </c>
      <c r="R16" s="3" t="s">
        <v>37</v>
      </c>
      <c r="S16" s="3" t="s">
        <v>38</v>
      </c>
      <c r="T16" s="3" t="s">
        <v>39</v>
      </c>
      <c r="U16" s="3" t="s">
        <v>124</v>
      </c>
      <c r="V16" s="3" t="s">
        <v>125</v>
      </c>
      <c r="W16" s="3" t="n">
        <v>12</v>
      </c>
      <c r="X16" s="3" t="n">
        <f aca="false">IF(ISNUMBER(W16),W16*3.412142,"")</f>
        <v>40.945704</v>
      </c>
      <c r="Y16" s="3" t="s">
        <v>126</v>
      </c>
      <c r="Z16" s="4"/>
      <c r="AB16" s="7"/>
      <c r="AC16" s="7"/>
      <c r="AD16" s="7"/>
      <c r="AE16" s="7"/>
    </row>
    <row r="17" s="1" customFormat="true" ht="15.75" hidden="false" customHeight="true" outlineLevel="0" collapsed="false">
      <c r="A17" s="5" t="s">
        <v>127</v>
      </c>
      <c r="B17" s="5" t="s">
        <v>27</v>
      </c>
      <c r="C17" s="5" t="s">
        <v>128</v>
      </c>
      <c r="D17" s="1" t="s">
        <v>129</v>
      </c>
      <c r="E17" s="1" t="n">
        <v>1210</v>
      </c>
      <c r="J17" s="6" t="s">
        <v>30</v>
      </c>
      <c r="K17" s="5" t="s">
        <v>130</v>
      </c>
      <c r="L17" s="3" t="s">
        <v>46</v>
      </c>
      <c r="M17" s="3" t="s">
        <v>122</v>
      </c>
      <c r="N17" s="3" t="s">
        <v>48</v>
      </c>
      <c r="O17" s="3"/>
      <c r="P17" s="3" t="s">
        <v>123</v>
      </c>
      <c r="Q17" s="3" t="s">
        <v>36</v>
      </c>
      <c r="R17" s="3" t="s">
        <v>37</v>
      </c>
      <c r="S17" s="3" t="s">
        <v>38</v>
      </c>
      <c r="T17" s="3" t="s">
        <v>39</v>
      </c>
      <c r="U17" s="3" t="s">
        <v>124</v>
      </c>
      <c r="V17" s="3" t="s">
        <v>125</v>
      </c>
      <c r="W17" s="3" t="n">
        <v>12</v>
      </c>
      <c r="X17" s="3" t="n">
        <f aca="false">IF(ISNUMBER(W17),W17*3.412142,"")</f>
        <v>40.945704</v>
      </c>
      <c r="Y17" s="3" t="s">
        <v>131</v>
      </c>
      <c r="Z17" s="4" t="s">
        <v>132</v>
      </c>
      <c r="AB17" s="7"/>
      <c r="AC17" s="7"/>
      <c r="AD17" s="7"/>
      <c r="AE17" s="7"/>
    </row>
    <row r="18" s="1" customFormat="true" ht="15.75" hidden="false" customHeight="true" outlineLevel="0" collapsed="false">
      <c r="A18" s="5" t="s">
        <v>133</v>
      </c>
      <c r="B18" s="5" t="s">
        <v>27</v>
      </c>
      <c r="C18" s="5" t="s">
        <v>134</v>
      </c>
      <c r="D18" s="1" t="s">
        <v>135</v>
      </c>
      <c r="E18" s="1" t="n">
        <v>1040</v>
      </c>
      <c r="J18" s="6" t="s">
        <v>30</v>
      </c>
      <c r="K18" s="5" t="s">
        <v>136</v>
      </c>
      <c r="L18" s="3" t="s">
        <v>46</v>
      </c>
      <c r="M18" s="3" t="s">
        <v>122</v>
      </c>
      <c r="N18" s="3" t="s">
        <v>48</v>
      </c>
      <c r="O18" s="3"/>
      <c r="P18" s="3" t="s">
        <v>123</v>
      </c>
      <c r="Q18" s="3" t="s">
        <v>36</v>
      </c>
      <c r="R18" s="3" t="s">
        <v>37</v>
      </c>
      <c r="S18" s="3" t="s">
        <v>38</v>
      </c>
      <c r="T18" s="3" t="s">
        <v>39</v>
      </c>
      <c r="U18" s="3" t="s">
        <v>124</v>
      </c>
      <c r="V18" s="3" t="s">
        <v>125</v>
      </c>
      <c r="W18" s="3" t="n">
        <v>12</v>
      </c>
      <c r="X18" s="3" t="n">
        <f aca="false">IF(ISNUMBER(W18),W18*3.412142,"")</f>
        <v>40.945704</v>
      </c>
      <c r="Y18" s="3" t="s">
        <v>131</v>
      </c>
      <c r="Z18" s="4" t="s">
        <v>137</v>
      </c>
      <c r="AB18" s="7"/>
      <c r="AC18" s="7"/>
      <c r="AD18" s="7"/>
      <c r="AE18" s="7"/>
    </row>
    <row r="19" s="1" customFormat="true" ht="15.75" hidden="false" customHeight="true" outlineLevel="0" collapsed="false">
      <c r="A19" s="5" t="s">
        <v>133</v>
      </c>
      <c r="B19" s="5" t="s">
        <v>27</v>
      </c>
      <c r="C19" s="5" t="s">
        <v>138</v>
      </c>
      <c r="D19" s="1" t="s">
        <v>139</v>
      </c>
      <c r="E19" s="1" t="n">
        <v>1390</v>
      </c>
      <c r="J19" s="6" t="s">
        <v>30</v>
      </c>
      <c r="K19" s="5" t="s">
        <v>140</v>
      </c>
      <c r="L19" s="3" t="s">
        <v>141</v>
      </c>
      <c r="M19" s="3" t="s">
        <v>142</v>
      </c>
      <c r="N19" s="3" t="s">
        <v>143</v>
      </c>
      <c r="O19" s="3"/>
      <c r="P19" s="3" t="s">
        <v>144</v>
      </c>
      <c r="Q19" s="3" t="s">
        <v>145</v>
      </c>
      <c r="R19" s="3" t="s">
        <v>146</v>
      </c>
      <c r="S19" s="3" t="s">
        <v>147</v>
      </c>
      <c r="T19" s="3" t="s">
        <v>148</v>
      </c>
      <c r="U19" s="3" t="s">
        <v>124</v>
      </c>
      <c r="V19" s="3" t="s">
        <v>125</v>
      </c>
      <c r="W19" s="3" t="n">
        <v>12</v>
      </c>
      <c r="X19" s="3" t="n">
        <f aca="false">IF(ISNUMBER(W19),W19*3.412142,"")</f>
        <v>40.945704</v>
      </c>
      <c r="Y19" s="3" t="s">
        <v>131</v>
      </c>
      <c r="Z19" s="4" t="s">
        <v>149</v>
      </c>
      <c r="AB19" s="7"/>
      <c r="AC19" s="7"/>
      <c r="AD19" s="7"/>
      <c r="AE19" s="7"/>
    </row>
    <row r="20" s="1" customFormat="true" ht="15.75" hidden="false" customHeight="true" outlineLevel="0" collapsed="false">
      <c r="A20" s="5" t="s">
        <v>127</v>
      </c>
      <c r="B20" s="5" t="s">
        <v>27</v>
      </c>
      <c r="C20" s="5" t="s">
        <v>150</v>
      </c>
      <c r="D20" s="1" t="s">
        <v>151</v>
      </c>
      <c r="E20" s="1" t="n">
        <v>1780</v>
      </c>
      <c r="J20" s="6" t="s">
        <v>30</v>
      </c>
      <c r="K20" s="5" t="s">
        <v>152</v>
      </c>
      <c r="L20" s="3" t="s">
        <v>46</v>
      </c>
      <c r="M20" s="3" t="s">
        <v>122</v>
      </c>
      <c r="N20" s="3" t="s">
        <v>48</v>
      </c>
      <c r="O20" s="3"/>
      <c r="P20" s="3" t="s">
        <v>123</v>
      </c>
      <c r="Q20" s="3" t="s">
        <v>36</v>
      </c>
      <c r="R20" s="3" t="s">
        <v>37</v>
      </c>
      <c r="S20" s="3" t="s">
        <v>38</v>
      </c>
      <c r="T20" s="3" t="s">
        <v>39</v>
      </c>
      <c r="U20" s="3" t="s">
        <v>124</v>
      </c>
      <c r="V20" s="3" t="s">
        <v>125</v>
      </c>
      <c r="W20" s="3" t="n">
        <v>12</v>
      </c>
      <c r="X20" s="3" t="n">
        <f aca="false">IF(ISNUMBER(W20),W20*3.412142,"")</f>
        <v>40.945704</v>
      </c>
      <c r="Y20" s="3" t="s">
        <v>131</v>
      </c>
      <c r="Z20" s="4"/>
      <c r="AB20" s="7"/>
      <c r="AC20" s="7"/>
      <c r="AD20" s="7"/>
      <c r="AE20" s="7"/>
    </row>
    <row r="21" s="1" customFormat="true" ht="15.75" hidden="false" customHeight="true" outlineLevel="0" collapsed="false">
      <c r="A21" s="5" t="s">
        <v>133</v>
      </c>
      <c r="B21" s="5" t="s">
        <v>27</v>
      </c>
      <c r="C21" s="5" t="s">
        <v>153</v>
      </c>
      <c r="D21" s="1" t="s">
        <v>154</v>
      </c>
      <c r="E21" s="1" t="n">
        <v>1880</v>
      </c>
      <c r="J21" s="6" t="s">
        <v>30</v>
      </c>
      <c r="K21" s="5" t="s">
        <v>155</v>
      </c>
      <c r="L21" s="3" t="s">
        <v>46</v>
      </c>
      <c r="M21" s="3" t="s">
        <v>122</v>
      </c>
      <c r="N21" s="3" t="s">
        <v>48</v>
      </c>
      <c r="O21" s="3"/>
      <c r="P21" s="3" t="s">
        <v>123</v>
      </c>
      <c r="Q21" s="3" t="s">
        <v>36</v>
      </c>
      <c r="R21" s="3" t="s">
        <v>37</v>
      </c>
      <c r="S21" s="3" t="s">
        <v>38</v>
      </c>
      <c r="T21" s="3" t="s">
        <v>39</v>
      </c>
      <c r="U21" s="3" t="s">
        <v>124</v>
      </c>
      <c r="V21" s="3" t="s">
        <v>125</v>
      </c>
      <c r="W21" s="3" t="n">
        <v>12</v>
      </c>
      <c r="X21" s="3" t="n">
        <f aca="false">IF(ISNUMBER(W21),W21*3.412142,"")</f>
        <v>40.945704</v>
      </c>
      <c r="Y21" s="3" t="s">
        <v>131</v>
      </c>
      <c r="Z21" s="4"/>
      <c r="AB21" s="7"/>
      <c r="AC21" s="7"/>
      <c r="AD21" s="7"/>
      <c r="AE21" s="7"/>
    </row>
    <row r="22" s="1" customFormat="true" ht="15.75" hidden="false" customHeight="true" outlineLevel="0" collapsed="false">
      <c r="A22" s="5" t="s">
        <v>127</v>
      </c>
      <c r="B22" s="5" t="s">
        <v>27</v>
      </c>
      <c r="C22" s="5" t="s">
        <v>156</v>
      </c>
      <c r="D22" s="1" t="s">
        <v>157</v>
      </c>
      <c r="E22" s="1" t="n">
        <v>1780</v>
      </c>
      <c r="J22" s="6" t="s">
        <v>30</v>
      </c>
      <c r="K22" s="5" t="s">
        <v>158</v>
      </c>
      <c r="L22" s="3" t="s">
        <v>46</v>
      </c>
      <c r="M22" s="3" t="s">
        <v>122</v>
      </c>
      <c r="N22" s="3" t="s">
        <v>48</v>
      </c>
      <c r="O22" s="3"/>
      <c r="P22" s="3" t="s">
        <v>123</v>
      </c>
      <c r="Q22" s="3" t="s">
        <v>36</v>
      </c>
      <c r="R22" s="3" t="s">
        <v>37</v>
      </c>
      <c r="S22" s="3" t="s">
        <v>38</v>
      </c>
      <c r="T22" s="3" t="s">
        <v>39</v>
      </c>
      <c r="U22" s="3" t="s">
        <v>124</v>
      </c>
      <c r="V22" s="3" t="s">
        <v>125</v>
      </c>
      <c r="W22" s="3" t="n">
        <v>12</v>
      </c>
      <c r="X22" s="3" t="n">
        <f aca="false">IF(ISNUMBER(W22),W22*3.412142,"")</f>
        <v>40.945704</v>
      </c>
      <c r="Y22" s="3" t="s">
        <v>131</v>
      </c>
      <c r="Z22" s="4"/>
      <c r="AB22" s="7"/>
      <c r="AC22" s="7"/>
      <c r="AD22" s="7"/>
      <c r="AE22" s="7"/>
    </row>
    <row r="23" s="1" customFormat="true" ht="15.75" hidden="false" customHeight="true" outlineLevel="0" collapsed="false">
      <c r="A23" s="5" t="s">
        <v>133</v>
      </c>
      <c r="B23" s="5" t="s">
        <v>27</v>
      </c>
      <c r="C23" s="5" t="s">
        <v>159</v>
      </c>
      <c r="D23" s="1" t="s">
        <v>160</v>
      </c>
      <c r="E23" s="1" t="n">
        <v>1880</v>
      </c>
      <c r="J23" s="6" t="s">
        <v>30</v>
      </c>
      <c r="K23" s="5" t="s">
        <v>161</v>
      </c>
      <c r="L23" s="3" t="s">
        <v>46</v>
      </c>
      <c r="M23" s="3" t="s">
        <v>122</v>
      </c>
      <c r="N23" s="3" t="s">
        <v>48</v>
      </c>
      <c r="O23" s="3"/>
      <c r="P23" s="3" t="s">
        <v>123</v>
      </c>
      <c r="Q23" s="3" t="s">
        <v>36</v>
      </c>
      <c r="R23" s="3" t="s">
        <v>37</v>
      </c>
      <c r="S23" s="3" t="s">
        <v>38</v>
      </c>
      <c r="T23" s="3" t="s">
        <v>39</v>
      </c>
      <c r="U23" s="3" t="s">
        <v>124</v>
      </c>
      <c r="V23" s="3" t="s">
        <v>125</v>
      </c>
      <c r="W23" s="3" t="n">
        <v>12</v>
      </c>
      <c r="X23" s="3" t="n">
        <f aca="false">IF(ISNUMBER(W23),W23*3.412142,"")</f>
        <v>40.945704</v>
      </c>
      <c r="Y23" s="3" t="s">
        <v>131</v>
      </c>
      <c r="Z23" s="4"/>
      <c r="AB23" s="7"/>
      <c r="AC23" s="7"/>
      <c r="AD23" s="7"/>
      <c r="AE23" s="7"/>
    </row>
    <row r="24" s="1" customFormat="true" ht="15.75" hidden="false" customHeight="true" outlineLevel="0" collapsed="false">
      <c r="A24" s="5" t="s">
        <v>127</v>
      </c>
      <c r="B24" s="5" t="s">
        <v>27</v>
      </c>
      <c r="C24" s="5" t="s">
        <v>162</v>
      </c>
      <c r="D24" s="1" t="s">
        <v>163</v>
      </c>
      <c r="E24" s="1" t="n">
        <v>1470</v>
      </c>
      <c r="J24" s="6" t="s">
        <v>30</v>
      </c>
      <c r="K24" s="5" t="s">
        <v>164</v>
      </c>
      <c r="L24" s="3" t="s">
        <v>46</v>
      </c>
      <c r="M24" s="3" t="s">
        <v>122</v>
      </c>
      <c r="N24" s="3" t="s">
        <v>48</v>
      </c>
      <c r="O24" s="3"/>
      <c r="P24" s="3" t="s">
        <v>123</v>
      </c>
      <c r="Q24" s="3" t="s">
        <v>36</v>
      </c>
      <c r="R24" s="3" t="s">
        <v>37</v>
      </c>
      <c r="S24" s="3" t="s">
        <v>38</v>
      </c>
      <c r="T24" s="3" t="s">
        <v>39</v>
      </c>
      <c r="U24" s="3" t="s">
        <v>124</v>
      </c>
      <c r="V24" s="3" t="s">
        <v>125</v>
      </c>
      <c r="W24" s="3" t="n">
        <v>12</v>
      </c>
      <c r="X24" s="3" t="n">
        <f aca="false">IF(ISNUMBER(W24),W24*3.412142,"")</f>
        <v>40.945704</v>
      </c>
      <c r="Y24" s="3" t="s">
        <v>131</v>
      </c>
      <c r="Z24" s="4"/>
      <c r="AB24" s="7"/>
      <c r="AC24" s="7"/>
      <c r="AD24" s="7"/>
      <c r="AE24" s="7"/>
    </row>
    <row r="25" s="1" customFormat="true" ht="15.75" hidden="false" customHeight="true" outlineLevel="0" collapsed="false">
      <c r="A25" s="5" t="s">
        <v>165</v>
      </c>
      <c r="B25" s="5" t="s">
        <v>27</v>
      </c>
      <c r="C25" s="5" t="s">
        <v>166</v>
      </c>
      <c r="D25" s="1" t="s">
        <v>167</v>
      </c>
      <c r="E25" s="1" t="n">
        <v>2550</v>
      </c>
      <c r="J25" s="6" t="s">
        <v>30</v>
      </c>
      <c r="K25" s="5" t="s">
        <v>168</v>
      </c>
      <c r="L25" s="3" t="s">
        <v>46</v>
      </c>
      <c r="M25" s="3" t="s">
        <v>122</v>
      </c>
      <c r="N25" s="3" t="s">
        <v>48</v>
      </c>
      <c r="O25" s="3"/>
      <c r="P25" s="3" t="s">
        <v>123</v>
      </c>
      <c r="Q25" s="3" t="s">
        <v>36</v>
      </c>
      <c r="R25" s="3" t="s">
        <v>37</v>
      </c>
      <c r="S25" s="3" t="s">
        <v>38</v>
      </c>
      <c r="T25" s="3" t="s">
        <v>39</v>
      </c>
      <c r="U25" s="3" t="s">
        <v>169</v>
      </c>
      <c r="V25" s="3" t="s">
        <v>170</v>
      </c>
      <c r="W25" s="3" t="n">
        <v>25.5</v>
      </c>
      <c r="X25" s="3" t="n">
        <f aca="false">IF(ISNUMBER(W25),W25*3.412142,"")</f>
        <v>87.009621</v>
      </c>
      <c r="Y25" s="3" t="s">
        <v>171</v>
      </c>
      <c r="Z25" s="4"/>
      <c r="AB25" s="7"/>
      <c r="AC25" s="7"/>
      <c r="AD25" s="7"/>
      <c r="AE25" s="7"/>
    </row>
    <row r="26" s="1" customFormat="true" ht="15.75" hidden="false" customHeight="true" outlineLevel="0" collapsed="false">
      <c r="A26" s="5" t="s">
        <v>165</v>
      </c>
      <c r="B26" s="5" t="s">
        <v>27</v>
      </c>
      <c r="C26" s="5" t="s">
        <v>172</v>
      </c>
      <c r="D26" s="1" t="s">
        <v>173</v>
      </c>
      <c r="E26" s="1" t="n">
        <v>1460</v>
      </c>
      <c r="J26" s="6" t="s">
        <v>30</v>
      </c>
      <c r="K26" s="5" t="s">
        <v>174</v>
      </c>
      <c r="L26" s="3" t="s">
        <v>46</v>
      </c>
      <c r="M26" s="3" t="s">
        <v>122</v>
      </c>
      <c r="N26" s="3" t="s">
        <v>48</v>
      </c>
      <c r="O26" s="3"/>
      <c r="P26" s="3" t="s">
        <v>123</v>
      </c>
      <c r="Q26" s="3" t="s">
        <v>36</v>
      </c>
      <c r="R26" s="3" t="s">
        <v>37</v>
      </c>
      <c r="S26" s="3" t="s">
        <v>38</v>
      </c>
      <c r="T26" s="3" t="s">
        <v>39</v>
      </c>
      <c r="U26" s="3" t="s">
        <v>169</v>
      </c>
      <c r="V26" s="3" t="s">
        <v>170</v>
      </c>
      <c r="W26" s="3" t="n">
        <v>25.5</v>
      </c>
      <c r="X26" s="3" t="n">
        <f aca="false">IF(ISNUMBER(W26),W26*3.412142,"")</f>
        <v>87.009621</v>
      </c>
      <c r="Y26" s="3" t="s">
        <v>171</v>
      </c>
      <c r="Z26" s="4"/>
      <c r="AB26" s="7"/>
      <c r="AC26" s="7"/>
      <c r="AD26" s="7"/>
      <c r="AE26" s="7"/>
    </row>
    <row r="27" s="1" customFormat="true" ht="15.75" hidden="false" customHeight="true" outlineLevel="0" collapsed="false">
      <c r="A27" s="5" t="s">
        <v>165</v>
      </c>
      <c r="B27" s="5" t="s">
        <v>27</v>
      </c>
      <c r="C27" s="5" t="s">
        <v>175</v>
      </c>
      <c r="D27" s="1" t="s">
        <v>176</v>
      </c>
      <c r="E27" s="1" t="n">
        <v>2390</v>
      </c>
      <c r="J27" s="6" t="s">
        <v>30</v>
      </c>
      <c r="K27" s="5" t="s">
        <v>177</v>
      </c>
      <c r="L27" s="3" t="s">
        <v>46</v>
      </c>
      <c r="M27" s="3" t="s">
        <v>122</v>
      </c>
      <c r="N27" s="3" t="s">
        <v>48</v>
      </c>
      <c r="O27" s="3"/>
      <c r="P27" s="3" t="s">
        <v>123</v>
      </c>
      <c r="Q27" s="3" t="s">
        <v>36</v>
      </c>
      <c r="R27" s="3" t="s">
        <v>37</v>
      </c>
      <c r="S27" s="3" t="s">
        <v>38</v>
      </c>
      <c r="T27" s="3" t="s">
        <v>39</v>
      </c>
      <c r="U27" s="3" t="s">
        <v>169</v>
      </c>
      <c r="V27" s="3" t="s">
        <v>170</v>
      </c>
      <c r="W27" s="3" t="n">
        <v>25.5</v>
      </c>
      <c r="X27" s="3" t="n">
        <f aca="false">IF(ISNUMBER(W27),W27*3.412142,"")</f>
        <v>87.009621</v>
      </c>
      <c r="Y27" s="3" t="s">
        <v>171</v>
      </c>
      <c r="Z27" s="4"/>
      <c r="AB27" s="7"/>
      <c r="AC27" s="7"/>
      <c r="AD27" s="7"/>
      <c r="AE27" s="7"/>
    </row>
    <row r="28" s="1" customFormat="true" ht="15.75" hidden="false" customHeight="true" outlineLevel="0" collapsed="false">
      <c r="A28" s="5" t="s">
        <v>165</v>
      </c>
      <c r="B28" s="5" t="s">
        <v>27</v>
      </c>
      <c r="C28" s="5" t="s">
        <v>178</v>
      </c>
      <c r="D28" s="1" t="s">
        <v>179</v>
      </c>
      <c r="E28" s="1" t="n">
        <v>3560</v>
      </c>
      <c r="J28" s="6" t="s">
        <v>30</v>
      </c>
      <c r="K28" s="5" t="s">
        <v>180</v>
      </c>
      <c r="L28" s="3" t="s">
        <v>141</v>
      </c>
      <c r="M28" s="3" t="s">
        <v>142</v>
      </c>
      <c r="N28" s="3" t="s">
        <v>143</v>
      </c>
      <c r="O28" s="3"/>
      <c r="P28" s="3" t="s">
        <v>144</v>
      </c>
      <c r="Q28" s="3" t="s">
        <v>145</v>
      </c>
      <c r="R28" s="3" t="s">
        <v>146</v>
      </c>
      <c r="S28" s="3" t="s">
        <v>147</v>
      </c>
      <c r="T28" s="3" t="s">
        <v>148</v>
      </c>
      <c r="U28" s="3" t="s">
        <v>169</v>
      </c>
      <c r="V28" s="3" t="s">
        <v>170</v>
      </c>
      <c r="W28" s="3" t="n">
        <v>25.5</v>
      </c>
      <c r="X28" s="3" t="n">
        <f aca="false">IF(ISNUMBER(W28),W28*3.412142,"")</f>
        <v>87.009621</v>
      </c>
      <c r="Y28" s="3" t="s">
        <v>171</v>
      </c>
      <c r="Z28" s="4"/>
      <c r="AB28" s="7"/>
      <c r="AC28" s="7"/>
      <c r="AD28" s="7"/>
      <c r="AE28" s="7"/>
    </row>
    <row r="29" s="1" customFormat="true" ht="15.75" hidden="false" customHeight="true" outlineLevel="0" collapsed="false">
      <c r="A29" s="5" t="s">
        <v>165</v>
      </c>
      <c r="B29" s="5" t="s">
        <v>27</v>
      </c>
      <c r="C29" s="5" t="s">
        <v>181</v>
      </c>
      <c r="D29" s="1" t="s">
        <v>182</v>
      </c>
      <c r="E29" s="1" t="n">
        <v>3150</v>
      </c>
      <c r="J29" s="6" t="s">
        <v>30</v>
      </c>
      <c r="K29" s="5" t="s">
        <v>183</v>
      </c>
      <c r="L29" s="3" t="s">
        <v>46</v>
      </c>
      <c r="M29" s="3" t="s">
        <v>122</v>
      </c>
      <c r="N29" s="3" t="s">
        <v>48</v>
      </c>
      <c r="O29" s="3"/>
      <c r="P29" s="3" t="s">
        <v>123</v>
      </c>
      <c r="Q29" s="3" t="s">
        <v>36</v>
      </c>
      <c r="R29" s="3" t="s">
        <v>37</v>
      </c>
      <c r="S29" s="3" t="s">
        <v>38</v>
      </c>
      <c r="T29" s="3" t="s">
        <v>39</v>
      </c>
      <c r="U29" s="3" t="s">
        <v>169</v>
      </c>
      <c r="V29" s="3" t="s">
        <v>170</v>
      </c>
      <c r="W29" s="3" t="n">
        <v>25.5</v>
      </c>
      <c r="X29" s="3" t="n">
        <f aca="false">IF(ISNUMBER(W29),W29*3.412142,"")</f>
        <v>87.009621</v>
      </c>
      <c r="Y29" s="3" t="s">
        <v>171</v>
      </c>
      <c r="Z29" s="4" t="s">
        <v>184</v>
      </c>
      <c r="AB29" s="7"/>
      <c r="AC29" s="7"/>
      <c r="AD29" s="7"/>
      <c r="AE29" s="7"/>
    </row>
    <row r="30" s="1" customFormat="true" ht="15.75" hidden="false" customHeight="true" outlineLevel="0" collapsed="false">
      <c r="A30" s="5" t="s">
        <v>165</v>
      </c>
      <c r="B30" s="5" t="s">
        <v>27</v>
      </c>
      <c r="C30" s="5" t="s">
        <v>185</v>
      </c>
      <c r="D30" s="1" t="s">
        <v>186</v>
      </c>
      <c r="E30" s="1" t="n">
        <v>2620</v>
      </c>
      <c r="J30" s="6" t="s">
        <v>30</v>
      </c>
      <c r="K30" s="5" t="s">
        <v>187</v>
      </c>
      <c r="L30" s="3" t="s">
        <v>46</v>
      </c>
      <c r="M30" s="3" t="s">
        <v>122</v>
      </c>
      <c r="N30" s="3" t="s">
        <v>48</v>
      </c>
      <c r="O30" s="3"/>
      <c r="P30" s="3" t="s">
        <v>123</v>
      </c>
      <c r="Q30" s="3" t="s">
        <v>36</v>
      </c>
      <c r="R30" s="3" t="s">
        <v>37</v>
      </c>
      <c r="S30" s="3" t="s">
        <v>38</v>
      </c>
      <c r="T30" s="3" t="s">
        <v>39</v>
      </c>
      <c r="U30" s="3" t="s">
        <v>169</v>
      </c>
      <c r="V30" s="3" t="s">
        <v>170</v>
      </c>
      <c r="W30" s="3" t="n">
        <v>25.5</v>
      </c>
      <c r="X30" s="3" t="n">
        <f aca="false">IF(ISNUMBER(W30),W30*3.412142,"")</f>
        <v>87.009621</v>
      </c>
      <c r="Y30" s="3" t="s">
        <v>171</v>
      </c>
      <c r="Z30" s="4"/>
      <c r="AB30" s="7"/>
      <c r="AC30" s="7"/>
      <c r="AD30" s="7"/>
      <c r="AE30" s="7"/>
    </row>
    <row r="31" s="1" customFormat="true" ht="15.75" hidden="false" customHeight="true" outlineLevel="0" collapsed="false">
      <c r="A31" s="5" t="s">
        <v>165</v>
      </c>
      <c r="B31" s="5" t="s">
        <v>27</v>
      </c>
      <c r="C31" s="5" t="s">
        <v>188</v>
      </c>
      <c r="D31" s="1" t="s">
        <v>189</v>
      </c>
      <c r="E31" s="1" t="n">
        <v>2090</v>
      </c>
      <c r="J31" s="6" t="s">
        <v>30</v>
      </c>
      <c r="K31" s="5" t="s">
        <v>190</v>
      </c>
      <c r="L31" s="3" t="s">
        <v>46</v>
      </c>
      <c r="M31" s="3" t="s">
        <v>122</v>
      </c>
      <c r="N31" s="3" t="s">
        <v>48</v>
      </c>
      <c r="O31" s="3"/>
      <c r="P31" s="3" t="s">
        <v>123</v>
      </c>
      <c r="Q31" s="3" t="s">
        <v>36</v>
      </c>
      <c r="R31" s="3" t="s">
        <v>37</v>
      </c>
      <c r="S31" s="3" t="s">
        <v>38</v>
      </c>
      <c r="T31" s="3" t="s">
        <v>39</v>
      </c>
      <c r="U31" s="3" t="s">
        <v>169</v>
      </c>
      <c r="V31" s="3" t="s">
        <v>170</v>
      </c>
      <c r="W31" s="3" t="n">
        <v>25.5</v>
      </c>
      <c r="X31" s="3" t="n">
        <f aca="false">IF(ISNUMBER(W31),W31*3.412142,"")</f>
        <v>87.009621</v>
      </c>
      <c r="Y31" s="3" t="s">
        <v>171</v>
      </c>
      <c r="Z31" s="4"/>
      <c r="AB31" s="7"/>
      <c r="AC31" s="7"/>
      <c r="AD31" s="7"/>
      <c r="AE31" s="7"/>
    </row>
    <row r="32" s="1" customFormat="true" ht="15.75" hidden="false" customHeight="true" outlineLevel="0" collapsed="false">
      <c r="A32" s="5" t="s">
        <v>165</v>
      </c>
      <c r="B32" s="5" t="s">
        <v>27</v>
      </c>
      <c r="C32" s="5" t="s">
        <v>191</v>
      </c>
      <c r="D32" s="1" t="s">
        <v>192</v>
      </c>
      <c r="E32" s="1" t="n">
        <v>2910</v>
      </c>
      <c r="J32" s="6" t="s">
        <v>30</v>
      </c>
      <c r="K32" s="5" t="s">
        <v>193</v>
      </c>
      <c r="L32" s="3" t="s">
        <v>46</v>
      </c>
      <c r="M32" s="3" t="s">
        <v>122</v>
      </c>
      <c r="N32" s="3" t="s">
        <v>48</v>
      </c>
      <c r="O32" s="3"/>
      <c r="P32" s="3" t="s">
        <v>123</v>
      </c>
      <c r="Q32" s="3" t="s">
        <v>36</v>
      </c>
      <c r="R32" s="3" t="s">
        <v>37</v>
      </c>
      <c r="S32" s="3" t="s">
        <v>38</v>
      </c>
      <c r="T32" s="3" t="s">
        <v>39</v>
      </c>
      <c r="U32" s="3" t="s">
        <v>169</v>
      </c>
      <c r="V32" s="3" t="s">
        <v>170</v>
      </c>
      <c r="W32" s="3" t="n">
        <v>25.5</v>
      </c>
      <c r="X32" s="3" t="n">
        <f aca="false">IF(ISNUMBER(W32),W32*3.412142,"")</f>
        <v>87.009621</v>
      </c>
      <c r="Y32" s="3" t="s">
        <v>171</v>
      </c>
      <c r="Z32" s="4"/>
      <c r="AB32" s="7"/>
      <c r="AC32" s="7"/>
      <c r="AD32" s="7"/>
      <c r="AE32" s="7"/>
    </row>
    <row r="33" s="1" customFormat="true" ht="15.75" hidden="false" customHeight="true" outlineLevel="0" collapsed="false">
      <c r="A33" s="5" t="s">
        <v>165</v>
      </c>
      <c r="B33" s="5" t="s">
        <v>27</v>
      </c>
      <c r="C33" s="5" t="s">
        <v>194</v>
      </c>
      <c r="D33" s="1" t="s">
        <v>195</v>
      </c>
      <c r="E33" s="1" t="n">
        <v>2420</v>
      </c>
      <c r="J33" s="6" t="s">
        <v>30</v>
      </c>
      <c r="K33" s="5" t="s">
        <v>196</v>
      </c>
      <c r="L33" s="3" t="s">
        <v>54</v>
      </c>
      <c r="M33" s="3" t="s">
        <v>55</v>
      </c>
      <c r="N33" s="3" t="s">
        <v>34</v>
      </c>
      <c r="O33" s="3"/>
      <c r="P33" s="3" t="s">
        <v>197</v>
      </c>
      <c r="Q33" s="3" t="s">
        <v>36</v>
      </c>
      <c r="R33" s="3" t="s">
        <v>37</v>
      </c>
      <c r="S33" s="3" t="s">
        <v>38</v>
      </c>
      <c r="T33" s="3" t="s">
        <v>39</v>
      </c>
      <c r="U33" s="3" t="s">
        <v>40</v>
      </c>
      <c r="V33" s="3" t="s">
        <v>41</v>
      </c>
      <c r="W33" s="3" t="n">
        <v>100</v>
      </c>
      <c r="X33" s="3" t="n">
        <f aca="false">IF(ISNUMBER(W33),W33*3.412142,"")</f>
        <v>341.2142</v>
      </c>
      <c r="Y33" s="3" t="s">
        <v>42</v>
      </c>
      <c r="Z33" s="4"/>
      <c r="AB33" s="7"/>
      <c r="AC33" s="7"/>
      <c r="AD33" s="7"/>
      <c r="AE33" s="7"/>
    </row>
    <row r="34" s="1" customFormat="true" ht="15.75" hidden="false" customHeight="true" outlineLevel="0" collapsed="false">
      <c r="A34" s="5" t="s">
        <v>198</v>
      </c>
      <c r="B34" s="5" t="s">
        <v>27</v>
      </c>
      <c r="C34" s="5" t="s">
        <v>199</v>
      </c>
      <c r="D34" s="1" t="s">
        <v>200</v>
      </c>
      <c r="E34" s="1" t="n">
        <v>2680</v>
      </c>
      <c r="J34" s="6" t="s">
        <v>30</v>
      </c>
      <c r="K34" s="5" t="s">
        <v>201</v>
      </c>
      <c r="L34" s="3" t="s">
        <v>54</v>
      </c>
      <c r="M34" s="3" t="s">
        <v>55</v>
      </c>
      <c r="N34" s="3" t="s">
        <v>34</v>
      </c>
      <c r="O34" s="3"/>
      <c r="P34" s="3" t="s">
        <v>197</v>
      </c>
      <c r="Q34" s="3" t="s">
        <v>36</v>
      </c>
      <c r="R34" s="3" t="s">
        <v>37</v>
      </c>
      <c r="S34" s="3" t="s">
        <v>38</v>
      </c>
      <c r="T34" s="3" t="s">
        <v>39</v>
      </c>
      <c r="U34" s="3" t="s">
        <v>40</v>
      </c>
      <c r="V34" s="3" t="s">
        <v>41</v>
      </c>
      <c r="W34" s="3" t="n">
        <v>100</v>
      </c>
      <c r="X34" s="3" t="n">
        <f aca="false">IF(ISNUMBER(W34),W34*3.412142,"")</f>
        <v>341.2142</v>
      </c>
      <c r="Y34" s="3" t="s">
        <v>42</v>
      </c>
      <c r="Z34" s="4"/>
      <c r="AB34" s="7"/>
      <c r="AC34" s="7"/>
      <c r="AD34" s="7"/>
      <c r="AE34" s="7"/>
    </row>
    <row r="35" s="1" customFormat="true" ht="15.75" hidden="false" customHeight="true" outlineLevel="0" collapsed="false">
      <c r="A35" s="5" t="s">
        <v>198</v>
      </c>
      <c r="B35" s="5" t="s">
        <v>27</v>
      </c>
      <c r="C35" s="5" t="s">
        <v>202</v>
      </c>
      <c r="D35" s="1" t="s">
        <v>203</v>
      </c>
      <c r="E35" s="1" t="n">
        <v>3160</v>
      </c>
      <c r="J35" s="6" t="s">
        <v>30</v>
      </c>
      <c r="K35" s="5" t="s">
        <v>204</v>
      </c>
      <c r="L35" s="3" t="s">
        <v>54</v>
      </c>
      <c r="M35" s="3" t="s">
        <v>55</v>
      </c>
      <c r="N35" s="3" t="s">
        <v>34</v>
      </c>
      <c r="O35" s="3"/>
      <c r="P35" s="3" t="s">
        <v>197</v>
      </c>
      <c r="Q35" s="3" t="s">
        <v>36</v>
      </c>
      <c r="R35" s="3" t="s">
        <v>37</v>
      </c>
      <c r="S35" s="3" t="s">
        <v>38</v>
      </c>
      <c r="T35" s="3" t="s">
        <v>39</v>
      </c>
      <c r="U35" s="3" t="s">
        <v>40</v>
      </c>
      <c r="V35" s="3" t="s">
        <v>41</v>
      </c>
      <c r="W35" s="3" t="n">
        <v>100</v>
      </c>
      <c r="X35" s="3" t="n">
        <f aca="false">IF(ISNUMBER(W35),W35*3.412142,"")</f>
        <v>341.2142</v>
      </c>
      <c r="Y35" s="3" t="s">
        <v>42</v>
      </c>
      <c r="Z35" s="4"/>
      <c r="AB35" s="7"/>
      <c r="AC35" s="7"/>
      <c r="AD35" s="7"/>
      <c r="AE35" s="7"/>
    </row>
    <row r="36" s="1" customFormat="true" ht="15.75" hidden="false" customHeight="true" outlineLevel="0" collapsed="false">
      <c r="A36" s="5" t="s">
        <v>198</v>
      </c>
      <c r="B36" s="5" t="s">
        <v>27</v>
      </c>
      <c r="C36" s="5" t="s">
        <v>205</v>
      </c>
      <c r="D36" s="1" t="s">
        <v>206</v>
      </c>
      <c r="E36" s="1" t="n">
        <v>2920</v>
      </c>
      <c r="J36" s="6" t="s">
        <v>30</v>
      </c>
      <c r="K36" s="5" t="s">
        <v>207</v>
      </c>
      <c r="L36" s="3" t="s">
        <v>54</v>
      </c>
      <c r="M36" s="3" t="s">
        <v>62</v>
      </c>
      <c r="N36" s="3" t="s">
        <v>110</v>
      </c>
      <c r="O36" s="3"/>
      <c r="P36" s="3" t="s">
        <v>111</v>
      </c>
      <c r="Q36" s="3" t="s">
        <v>65</v>
      </c>
      <c r="R36" s="3" t="s">
        <v>66</v>
      </c>
      <c r="S36" s="3" t="s">
        <v>67</v>
      </c>
      <c r="T36" s="3" t="s">
        <v>39</v>
      </c>
      <c r="U36" s="3" t="s">
        <v>40</v>
      </c>
      <c r="V36" s="3" t="s">
        <v>41</v>
      </c>
      <c r="W36" s="3" t="n">
        <v>100</v>
      </c>
      <c r="X36" s="3" t="n">
        <f aca="false">IF(ISNUMBER(W36),W36*3.412142,"")</f>
        <v>341.2142</v>
      </c>
      <c r="Y36" s="3" t="s">
        <v>42</v>
      </c>
      <c r="Z36" s="4"/>
      <c r="AB36" s="7"/>
      <c r="AC36" s="7"/>
      <c r="AD36" s="7"/>
      <c r="AE36" s="7"/>
    </row>
    <row r="37" s="1" customFormat="true" ht="15.75" hidden="false" customHeight="true" outlineLevel="0" collapsed="false">
      <c r="A37" s="5" t="s">
        <v>198</v>
      </c>
      <c r="B37" s="5" t="s">
        <v>27</v>
      </c>
      <c r="C37" s="5" t="s">
        <v>208</v>
      </c>
      <c r="D37" s="1" t="s">
        <v>209</v>
      </c>
      <c r="E37" s="1" t="n">
        <v>3530</v>
      </c>
      <c r="J37" s="6" t="s">
        <v>30</v>
      </c>
      <c r="K37" s="5" t="s">
        <v>210</v>
      </c>
      <c r="L37" s="3" t="s">
        <v>54</v>
      </c>
      <c r="M37" s="3" t="s">
        <v>62</v>
      </c>
      <c r="N37" s="3" t="s">
        <v>110</v>
      </c>
      <c r="O37" s="3"/>
      <c r="P37" s="3" t="s">
        <v>111</v>
      </c>
      <c r="Q37" s="3" t="s">
        <v>65</v>
      </c>
      <c r="R37" s="3" t="s">
        <v>66</v>
      </c>
      <c r="S37" s="3" t="s">
        <v>67</v>
      </c>
      <c r="T37" s="3" t="s">
        <v>39</v>
      </c>
      <c r="U37" s="3" t="s">
        <v>40</v>
      </c>
      <c r="V37" s="3" t="s">
        <v>41</v>
      </c>
      <c r="W37" s="3" t="n">
        <v>100</v>
      </c>
      <c r="X37" s="3" t="n">
        <f aca="false">IF(ISNUMBER(W37),W37*3.412142,"")</f>
        <v>341.2142</v>
      </c>
      <c r="Y37" s="3" t="s">
        <v>42</v>
      </c>
      <c r="Z37" s="4"/>
      <c r="AB37" s="7"/>
      <c r="AC37" s="7"/>
      <c r="AD37" s="7"/>
      <c r="AE37" s="7"/>
    </row>
    <row r="38" s="1" customFormat="true" ht="15.75" hidden="false" customHeight="true" outlineLevel="0" collapsed="false">
      <c r="A38" s="5" t="s">
        <v>198</v>
      </c>
      <c r="B38" s="5" t="s">
        <v>27</v>
      </c>
      <c r="C38" s="5" t="s">
        <v>211</v>
      </c>
      <c r="D38" s="1" t="s">
        <v>212</v>
      </c>
      <c r="E38" s="1" t="n">
        <v>4610</v>
      </c>
      <c r="J38" s="6" t="s">
        <v>30</v>
      </c>
      <c r="K38" s="5" t="s">
        <v>210</v>
      </c>
      <c r="L38" s="3" t="s">
        <v>54</v>
      </c>
      <c r="M38" s="3" t="s">
        <v>62</v>
      </c>
      <c r="N38" s="3" t="s">
        <v>110</v>
      </c>
      <c r="O38" s="3"/>
      <c r="P38" s="3" t="s">
        <v>111</v>
      </c>
      <c r="Q38" s="3" t="s">
        <v>65</v>
      </c>
      <c r="R38" s="3" t="s">
        <v>66</v>
      </c>
      <c r="S38" s="3" t="s">
        <v>67</v>
      </c>
      <c r="T38" s="3" t="s">
        <v>39</v>
      </c>
      <c r="U38" s="3" t="s">
        <v>40</v>
      </c>
      <c r="V38" s="3" t="s">
        <v>41</v>
      </c>
      <c r="W38" s="3" t="n">
        <v>100</v>
      </c>
      <c r="X38" s="3" t="n">
        <f aca="false">IF(ISNUMBER(W38),W38*3.412142,"")</f>
        <v>341.2142</v>
      </c>
      <c r="Y38" s="3" t="s">
        <v>42</v>
      </c>
      <c r="Z38" s="4"/>
      <c r="AB38" s="7"/>
      <c r="AC38" s="7"/>
      <c r="AD38" s="7"/>
      <c r="AE38" s="7"/>
    </row>
    <row r="39" s="1" customFormat="true" ht="15.75" hidden="false" customHeight="true" outlineLevel="0" collapsed="false">
      <c r="A39" s="5" t="s">
        <v>213</v>
      </c>
      <c r="B39" s="5" t="s">
        <v>27</v>
      </c>
      <c r="C39" s="5" t="s">
        <v>214</v>
      </c>
      <c r="D39" s="1" t="s">
        <v>215</v>
      </c>
      <c r="E39" s="1" t="n">
        <v>1110</v>
      </c>
      <c r="J39" s="6" t="s">
        <v>30</v>
      </c>
      <c r="K39" s="8" t="s">
        <v>216</v>
      </c>
      <c r="L39" s="3" t="s">
        <v>54</v>
      </c>
      <c r="M39" s="3" t="s">
        <v>62</v>
      </c>
      <c r="N39" s="3" t="s">
        <v>110</v>
      </c>
      <c r="O39" s="3"/>
      <c r="P39" s="3" t="s">
        <v>217</v>
      </c>
      <c r="Q39" s="3" t="s">
        <v>65</v>
      </c>
      <c r="R39" s="3" t="s">
        <v>66</v>
      </c>
      <c r="S39" s="3" t="s">
        <v>67</v>
      </c>
      <c r="T39" s="3" t="s">
        <v>39</v>
      </c>
      <c r="U39" s="3" t="s">
        <v>40</v>
      </c>
      <c r="V39" s="3" t="s">
        <v>218</v>
      </c>
      <c r="W39" s="3" t="n">
        <v>150</v>
      </c>
      <c r="X39" s="3" t="n">
        <f aca="false">IF(ISNUMBER(W39),W39*3.412142,"")</f>
        <v>511.8213</v>
      </c>
      <c r="Y39" s="3" t="s">
        <v>42</v>
      </c>
      <c r="Z39" s="4" t="s">
        <v>219</v>
      </c>
      <c r="AB39" s="7"/>
      <c r="AC39" s="7"/>
      <c r="AD39" s="7"/>
      <c r="AE39" s="7"/>
    </row>
    <row r="40" s="1" customFormat="true" ht="15.75" hidden="false" customHeight="true" outlineLevel="0" collapsed="false">
      <c r="A40" s="5" t="s">
        <v>213</v>
      </c>
      <c r="B40" s="5" t="s">
        <v>27</v>
      </c>
      <c r="C40" s="5" t="s">
        <v>214</v>
      </c>
      <c r="D40" s="1" t="s">
        <v>220</v>
      </c>
      <c r="E40" s="1" t="n">
        <v>1690</v>
      </c>
      <c r="J40" s="6" t="s">
        <v>30</v>
      </c>
      <c r="K40" s="9" t="s">
        <v>221</v>
      </c>
      <c r="L40" s="3" t="s">
        <v>54</v>
      </c>
      <c r="M40" s="3" t="s">
        <v>62</v>
      </c>
      <c r="N40" s="3" t="s">
        <v>110</v>
      </c>
      <c r="O40" s="3"/>
      <c r="P40" s="3" t="s">
        <v>217</v>
      </c>
      <c r="Q40" s="3" t="s">
        <v>65</v>
      </c>
      <c r="R40" s="3" t="s">
        <v>66</v>
      </c>
      <c r="S40" s="3" t="s">
        <v>67</v>
      </c>
      <c r="T40" s="3" t="s">
        <v>39</v>
      </c>
      <c r="U40" s="3" t="s">
        <v>40</v>
      </c>
      <c r="V40" s="3" t="s">
        <v>218</v>
      </c>
      <c r="W40" s="3" t="n">
        <v>150</v>
      </c>
      <c r="X40" s="3" t="n">
        <f aca="false">IF(ISNUMBER(W40),W40*3.412142,"")</f>
        <v>511.8213</v>
      </c>
      <c r="Y40" s="3" t="s">
        <v>42</v>
      </c>
      <c r="Z40" s="4" t="s">
        <v>222</v>
      </c>
      <c r="AB40" s="7"/>
      <c r="AC40" s="7"/>
      <c r="AD40" s="7"/>
      <c r="AE40" s="7"/>
    </row>
    <row r="41" s="1" customFormat="true" ht="15.75" hidden="false" customHeight="true" outlineLevel="0" collapsed="false">
      <c r="A41" s="5" t="s">
        <v>213</v>
      </c>
      <c r="B41" s="5" t="s">
        <v>27</v>
      </c>
      <c r="C41" s="5" t="s">
        <v>223</v>
      </c>
      <c r="D41" s="1" t="s">
        <v>224</v>
      </c>
      <c r="E41" s="1" t="n">
        <v>3140</v>
      </c>
      <c r="J41" s="6" t="s">
        <v>30</v>
      </c>
      <c r="K41" s="9" t="s">
        <v>225</v>
      </c>
      <c r="L41" s="3" t="s">
        <v>54</v>
      </c>
      <c r="M41" s="3" t="s">
        <v>62</v>
      </c>
      <c r="N41" s="3" t="s">
        <v>110</v>
      </c>
      <c r="O41" s="3"/>
      <c r="P41" s="3" t="s">
        <v>217</v>
      </c>
      <c r="Q41" s="3" t="s">
        <v>65</v>
      </c>
      <c r="R41" s="3" t="s">
        <v>66</v>
      </c>
      <c r="S41" s="3" t="s">
        <v>67</v>
      </c>
      <c r="T41" s="3" t="s">
        <v>39</v>
      </c>
      <c r="U41" s="3" t="s">
        <v>40</v>
      </c>
      <c r="V41" s="3" t="s">
        <v>218</v>
      </c>
      <c r="W41" s="3" t="n">
        <v>150</v>
      </c>
      <c r="X41" s="3" t="n">
        <f aca="false">IF(ISNUMBER(W41),W41*3.412142,"")</f>
        <v>511.8213</v>
      </c>
      <c r="Y41" s="3" t="s">
        <v>42</v>
      </c>
      <c r="Z41" s="4" t="s">
        <v>226</v>
      </c>
      <c r="AB41" s="7"/>
      <c r="AC41" s="7"/>
      <c r="AD41" s="7"/>
      <c r="AE41" s="7"/>
    </row>
    <row r="42" s="1" customFormat="true" ht="15.75" hidden="false" customHeight="true" outlineLevel="0" collapsed="false">
      <c r="A42" s="5" t="s">
        <v>213</v>
      </c>
      <c r="B42" s="5" t="s">
        <v>27</v>
      </c>
      <c r="C42" s="5" t="s">
        <v>223</v>
      </c>
      <c r="D42" s="1" t="s">
        <v>227</v>
      </c>
      <c r="E42" s="1" t="n">
        <v>6390</v>
      </c>
      <c r="J42" s="6" t="s">
        <v>30</v>
      </c>
      <c r="K42" s="9" t="s">
        <v>228</v>
      </c>
      <c r="L42" s="3" t="s">
        <v>54</v>
      </c>
      <c r="M42" s="3" t="s">
        <v>62</v>
      </c>
      <c r="N42" s="3" t="s">
        <v>110</v>
      </c>
      <c r="O42" s="3"/>
      <c r="P42" s="3" t="s">
        <v>217</v>
      </c>
      <c r="Q42" s="3" t="s">
        <v>65</v>
      </c>
      <c r="R42" s="3" t="s">
        <v>66</v>
      </c>
      <c r="S42" s="3" t="s">
        <v>67</v>
      </c>
      <c r="T42" s="3" t="s">
        <v>39</v>
      </c>
      <c r="U42" s="3" t="s">
        <v>40</v>
      </c>
      <c r="V42" s="3" t="s">
        <v>218</v>
      </c>
      <c r="W42" s="3" t="n">
        <v>150</v>
      </c>
      <c r="X42" s="3" t="n">
        <f aca="false">IF(ISNUMBER(W42),W42*3.412142,"")</f>
        <v>511.8213</v>
      </c>
      <c r="Y42" s="3" t="s">
        <v>42</v>
      </c>
      <c r="Z42" s="4" t="s">
        <v>229</v>
      </c>
      <c r="AB42" s="7"/>
      <c r="AC42" s="7"/>
      <c r="AD42" s="7"/>
      <c r="AE42" s="7"/>
    </row>
    <row r="43" s="1" customFormat="true" ht="15.75" hidden="false" customHeight="true" outlineLevel="0" collapsed="false">
      <c r="A43" s="5" t="s">
        <v>213</v>
      </c>
      <c r="B43" s="5" t="s">
        <v>27</v>
      </c>
      <c r="C43" s="5" t="s">
        <v>230</v>
      </c>
      <c r="D43" s="1" t="s">
        <v>231</v>
      </c>
      <c r="E43" s="1" t="n">
        <v>3990</v>
      </c>
      <c r="J43" s="6" t="s">
        <v>30</v>
      </c>
      <c r="K43" s="9" t="s">
        <v>232</v>
      </c>
      <c r="L43" s="3" t="s">
        <v>54</v>
      </c>
      <c r="M43" s="3" t="s">
        <v>62</v>
      </c>
      <c r="N43" s="3" t="s">
        <v>110</v>
      </c>
      <c r="O43" s="3"/>
      <c r="P43" s="3" t="s">
        <v>217</v>
      </c>
      <c r="Q43" s="3" t="s">
        <v>65</v>
      </c>
      <c r="R43" s="3" t="s">
        <v>66</v>
      </c>
      <c r="S43" s="3" t="s">
        <v>67</v>
      </c>
      <c r="T43" s="3" t="s">
        <v>39</v>
      </c>
      <c r="U43" s="3" t="s">
        <v>40</v>
      </c>
      <c r="V43" s="3" t="s">
        <v>218</v>
      </c>
      <c r="W43" s="3" t="n">
        <v>150</v>
      </c>
      <c r="X43" s="3" t="n">
        <f aca="false">IF(ISNUMBER(W43),W43*3.412142,"")</f>
        <v>511.8213</v>
      </c>
      <c r="Y43" s="3" t="s">
        <v>42</v>
      </c>
      <c r="Z43" s="4" t="s">
        <v>233</v>
      </c>
      <c r="AB43" s="7"/>
      <c r="AC43" s="7"/>
      <c r="AD43" s="7"/>
      <c r="AE43" s="7"/>
    </row>
    <row r="44" s="1" customFormat="true" ht="15.75" hidden="false" customHeight="true" outlineLevel="0" collapsed="false">
      <c r="A44" s="1" t="s">
        <v>213</v>
      </c>
      <c r="B44" s="1" t="s">
        <v>27</v>
      </c>
      <c r="C44" s="5" t="s">
        <v>234</v>
      </c>
      <c r="D44" s="1" t="s">
        <v>235</v>
      </c>
      <c r="E44" s="1" t="n">
        <v>830</v>
      </c>
      <c r="J44" s="6" t="s">
        <v>30</v>
      </c>
      <c r="K44" s="9" t="s">
        <v>236</v>
      </c>
      <c r="L44" s="3" t="s">
        <v>54</v>
      </c>
      <c r="M44" s="3" t="s">
        <v>62</v>
      </c>
      <c r="N44" s="3" t="s">
        <v>110</v>
      </c>
      <c r="O44" s="3"/>
      <c r="P44" s="3" t="s">
        <v>217</v>
      </c>
      <c r="Q44" s="3" t="s">
        <v>65</v>
      </c>
      <c r="R44" s="3" t="s">
        <v>66</v>
      </c>
      <c r="S44" s="3" t="s">
        <v>67</v>
      </c>
      <c r="T44" s="3" t="s">
        <v>39</v>
      </c>
      <c r="U44" s="3" t="s">
        <v>40</v>
      </c>
      <c r="V44" s="3" t="s">
        <v>218</v>
      </c>
      <c r="W44" s="3" t="n">
        <v>150</v>
      </c>
      <c r="X44" s="3" t="n">
        <f aca="false">IF(ISNUMBER(W44),W44*3.412142,"")</f>
        <v>511.8213</v>
      </c>
      <c r="Y44" s="3" t="s">
        <v>42</v>
      </c>
      <c r="Z44" s="4"/>
      <c r="AB44" s="7"/>
      <c r="AC44" s="7"/>
      <c r="AD44" s="7"/>
      <c r="AE44" s="7"/>
    </row>
    <row r="45" s="1" customFormat="true" ht="15.75" hidden="false" customHeight="true" outlineLevel="0" collapsed="false">
      <c r="A45" s="1" t="s">
        <v>237</v>
      </c>
      <c r="B45" s="1" t="s">
        <v>27</v>
      </c>
      <c r="C45" s="5" t="s">
        <v>238</v>
      </c>
      <c r="D45" s="1" t="s">
        <v>239</v>
      </c>
      <c r="E45" s="1" t="n">
        <v>1690</v>
      </c>
      <c r="J45" s="6" t="s">
        <v>30</v>
      </c>
      <c r="K45" s="9" t="s">
        <v>240</v>
      </c>
      <c r="L45" s="3" t="s">
        <v>46</v>
      </c>
      <c r="M45" s="3" t="s">
        <v>55</v>
      </c>
      <c r="N45" s="3" t="s">
        <v>48</v>
      </c>
      <c r="O45" s="3"/>
      <c r="P45" s="3" t="s">
        <v>49</v>
      </c>
      <c r="Q45" s="3" t="s">
        <v>36</v>
      </c>
      <c r="R45" s="3" t="s">
        <v>37</v>
      </c>
      <c r="S45" s="3" t="s">
        <v>38</v>
      </c>
      <c r="T45" s="3" t="s">
        <v>39</v>
      </c>
      <c r="U45" s="3" t="s">
        <v>124</v>
      </c>
      <c r="V45" s="3" t="s">
        <v>125</v>
      </c>
      <c r="W45" s="3" t="n">
        <v>12</v>
      </c>
      <c r="X45" s="3" t="n">
        <f aca="false">IF(ISNUMBER(W45),W45*3.412142,"")</f>
        <v>40.945704</v>
      </c>
      <c r="Y45" s="3" t="s">
        <v>126</v>
      </c>
      <c r="Z45" s="4" t="s">
        <v>241</v>
      </c>
      <c r="AB45" s="7"/>
      <c r="AC45" s="7"/>
      <c r="AD45" s="7"/>
      <c r="AE45" s="7"/>
    </row>
    <row r="46" s="1" customFormat="true" ht="15.75" hidden="false" customHeight="true" outlineLevel="0" collapsed="false">
      <c r="A46" s="1" t="s">
        <v>237</v>
      </c>
      <c r="B46" s="1" t="s">
        <v>27</v>
      </c>
      <c r="C46" s="5" t="s">
        <v>242</v>
      </c>
      <c r="D46" s="1" t="s">
        <v>243</v>
      </c>
      <c r="E46" s="1" t="n">
        <v>6050</v>
      </c>
      <c r="J46" s="6" t="s">
        <v>30</v>
      </c>
      <c r="K46" s="9" t="s">
        <v>244</v>
      </c>
      <c r="L46" s="3" t="s">
        <v>54</v>
      </c>
      <c r="M46" s="3" t="s">
        <v>62</v>
      </c>
      <c r="N46" s="3" t="s">
        <v>110</v>
      </c>
      <c r="O46" s="3"/>
      <c r="P46" s="3" t="s">
        <v>111</v>
      </c>
      <c r="Q46" s="3" t="s">
        <v>65</v>
      </c>
      <c r="R46" s="3" t="s">
        <v>66</v>
      </c>
      <c r="S46" s="3" t="s">
        <v>67</v>
      </c>
      <c r="T46" s="3" t="s">
        <v>39</v>
      </c>
      <c r="U46" s="3" t="s">
        <v>40</v>
      </c>
      <c r="V46" s="3" t="s">
        <v>245</v>
      </c>
      <c r="W46" s="3" t="n">
        <v>45</v>
      </c>
      <c r="X46" s="3" t="n">
        <f aca="false">IF(ISNUMBER(W46),W46*3.412142,"")</f>
        <v>153.54639</v>
      </c>
      <c r="Y46" s="3" t="s">
        <v>42</v>
      </c>
      <c r="Z46" s="4" t="s">
        <v>246</v>
      </c>
      <c r="AB46" s="7"/>
      <c r="AC46" s="7"/>
      <c r="AD46" s="7"/>
      <c r="AE46" s="7"/>
    </row>
    <row r="47" s="1" customFormat="true" ht="15.75" hidden="false" customHeight="true" outlineLevel="0" collapsed="false">
      <c r="A47" s="1" t="s">
        <v>237</v>
      </c>
      <c r="B47" s="1" t="s">
        <v>27</v>
      </c>
      <c r="C47" s="5" t="s">
        <v>247</v>
      </c>
      <c r="D47" s="1" t="s">
        <v>248</v>
      </c>
      <c r="E47" s="1" t="n">
        <v>2530</v>
      </c>
      <c r="J47" s="6" t="s">
        <v>30</v>
      </c>
      <c r="K47" s="5" t="s">
        <v>249</v>
      </c>
      <c r="L47" s="3" t="s">
        <v>250</v>
      </c>
      <c r="M47" s="3" t="s">
        <v>251</v>
      </c>
      <c r="N47" s="3" t="s">
        <v>252</v>
      </c>
      <c r="O47" s="3"/>
      <c r="P47" s="3" t="s">
        <v>49</v>
      </c>
      <c r="Q47" s="3" t="s">
        <v>253</v>
      </c>
      <c r="R47" s="3" t="s">
        <v>146</v>
      </c>
      <c r="S47" s="3" t="s">
        <v>147</v>
      </c>
      <c r="T47" s="3" t="s">
        <v>148</v>
      </c>
      <c r="U47" s="3" t="s">
        <v>169</v>
      </c>
      <c r="V47" s="3" t="s">
        <v>254</v>
      </c>
      <c r="W47" s="3" t="n">
        <v>15.4</v>
      </c>
      <c r="X47" s="3" t="n">
        <f aca="false">IF(ISNUMBER(W47),W47*3.412142,"")</f>
        <v>52.5469868</v>
      </c>
      <c r="Y47" s="3" t="s">
        <v>255</v>
      </c>
      <c r="Z47" s="4" t="s">
        <v>256</v>
      </c>
      <c r="AB47" s="7"/>
      <c r="AC47" s="7"/>
      <c r="AD47" s="7"/>
      <c r="AE47" s="7"/>
    </row>
    <row r="48" s="1" customFormat="true" ht="15.75" hidden="false" customHeight="true" outlineLevel="0" collapsed="false">
      <c r="A48" s="1" t="s">
        <v>237</v>
      </c>
      <c r="B48" s="1" t="s">
        <v>27</v>
      </c>
      <c r="C48" s="5" t="s">
        <v>257</v>
      </c>
      <c r="D48" s="1" t="s">
        <v>258</v>
      </c>
      <c r="E48" s="1" t="n">
        <v>3230</v>
      </c>
      <c r="J48" s="6" t="s">
        <v>30</v>
      </c>
      <c r="K48" s="5" t="s">
        <v>259</v>
      </c>
      <c r="L48" s="3" t="s">
        <v>251</v>
      </c>
      <c r="M48" s="3" t="s">
        <v>260</v>
      </c>
      <c r="N48" s="3" t="s">
        <v>250</v>
      </c>
      <c r="O48" s="3"/>
      <c r="P48" s="3" t="s">
        <v>261</v>
      </c>
      <c r="Q48" s="3" t="s">
        <v>253</v>
      </c>
      <c r="R48" s="3" t="s">
        <v>146</v>
      </c>
      <c r="S48" s="3" t="s">
        <v>147</v>
      </c>
      <c r="T48" s="3" t="s">
        <v>148</v>
      </c>
      <c r="U48" s="3" t="s">
        <v>169</v>
      </c>
      <c r="V48" s="3" t="s">
        <v>170</v>
      </c>
      <c r="W48" s="3" t="n">
        <v>25.5</v>
      </c>
      <c r="X48" s="3" t="n">
        <f aca="false">IF(ISNUMBER(W48),W48*3.412142,"")</f>
        <v>87.009621</v>
      </c>
      <c r="Y48" s="3" t="s">
        <v>262</v>
      </c>
      <c r="Z48" s="4" t="s">
        <v>263</v>
      </c>
      <c r="AB48" s="7"/>
      <c r="AC48" s="7"/>
      <c r="AD48" s="7"/>
      <c r="AE48" s="7"/>
    </row>
    <row r="49" s="1" customFormat="true" ht="15.75" hidden="false" customHeight="true" outlineLevel="0" collapsed="false">
      <c r="A49" s="1" t="s">
        <v>237</v>
      </c>
      <c r="B49" s="1" t="s">
        <v>27</v>
      </c>
      <c r="C49" s="5" t="s">
        <v>264</v>
      </c>
      <c r="D49" s="1" t="s">
        <v>265</v>
      </c>
      <c r="E49" s="1" t="n">
        <v>6060</v>
      </c>
      <c r="J49" s="6" t="s">
        <v>30</v>
      </c>
      <c r="K49" s="5" t="s">
        <v>266</v>
      </c>
      <c r="L49" s="3" t="s">
        <v>267</v>
      </c>
      <c r="M49" s="3" t="s">
        <v>63</v>
      </c>
      <c r="N49" s="3" t="s">
        <v>268</v>
      </c>
      <c r="O49" s="3"/>
      <c r="P49" s="3" t="s">
        <v>269</v>
      </c>
      <c r="Q49" s="3" t="s">
        <v>253</v>
      </c>
      <c r="R49" s="3" t="s">
        <v>146</v>
      </c>
      <c r="S49" s="3" t="s">
        <v>147</v>
      </c>
      <c r="T49" s="3" t="s">
        <v>148</v>
      </c>
      <c r="U49" s="3" t="s">
        <v>169</v>
      </c>
      <c r="V49" s="3" t="s">
        <v>270</v>
      </c>
      <c r="W49" s="3" t="n">
        <v>35</v>
      </c>
      <c r="X49" s="3" t="n">
        <f aca="false">IF(ISNUMBER(W49),W49*3.412142,"")</f>
        <v>119.42497</v>
      </c>
      <c r="Y49" s="3" t="s">
        <v>271</v>
      </c>
      <c r="Z49" s="4" t="s">
        <v>272</v>
      </c>
      <c r="AB49" s="7"/>
      <c r="AC49" s="7"/>
      <c r="AD49" s="7"/>
      <c r="AE49" s="7"/>
    </row>
    <row r="50" s="1" customFormat="true" ht="15.75" hidden="false" customHeight="true" outlineLevel="0" collapsed="false">
      <c r="A50" s="1" t="s">
        <v>237</v>
      </c>
      <c r="B50" s="1" t="s">
        <v>27</v>
      </c>
      <c r="C50" s="5" t="s">
        <v>273</v>
      </c>
      <c r="D50" s="1" t="s">
        <v>274</v>
      </c>
      <c r="E50" s="1" t="n">
        <v>2070</v>
      </c>
      <c r="J50" s="6" t="s">
        <v>30</v>
      </c>
      <c r="K50" s="5" t="s">
        <v>249</v>
      </c>
      <c r="L50" s="3" t="s">
        <v>275</v>
      </c>
      <c r="M50" s="3" t="s">
        <v>276</v>
      </c>
      <c r="N50" s="3" t="s">
        <v>61</v>
      </c>
      <c r="O50" s="3"/>
      <c r="P50" s="3" t="s">
        <v>277</v>
      </c>
      <c r="Q50" s="3" t="s">
        <v>253</v>
      </c>
      <c r="R50" s="3" t="s">
        <v>146</v>
      </c>
      <c r="S50" s="3" t="s">
        <v>147</v>
      </c>
      <c r="T50" s="3" t="s">
        <v>148</v>
      </c>
      <c r="U50" s="3" t="s">
        <v>169</v>
      </c>
      <c r="V50" s="3" t="s">
        <v>254</v>
      </c>
      <c r="W50" s="3" t="n">
        <v>15.4</v>
      </c>
      <c r="X50" s="3" t="n">
        <f aca="false">IF(ISNUMBER(W50),W50*3.412142,"")</f>
        <v>52.5469868</v>
      </c>
      <c r="Y50" s="3" t="s">
        <v>255</v>
      </c>
      <c r="Z50" s="4" t="s">
        <v>278</v>
      </c>
      <c r="AB50" s="7"/>
      <c r="AC50" s="7"/>
      <c r="AD50" s="7"/>
      <c r="AE50" s="7"/>
    </row>
    <row r="51" s="1" customFormat="true" ht="15.75" hidden="false" customHeight="true" outlineLevel="0" collapsed="false">
      <c r="A51" s="1" t="s">
        <v>237</v>
      </c>
      <c r="B51" s="1" t="s">
        <v>27</v>
      </c>
      <c r="C51" s="5" t="s">
        <v>279</v>
      </c>
      <c r="D51" s="1" t="s">
        <v>280</v>
      </c>
      <c r="E51" s="1" t="n">
        <v>1040</v>
      </c>
      <c r="J51" s="6" t="s">
        <v>30</v>
      </c>
      <c r="K51" s="5" t="s">
        <v>281</v>
      </c>
      <c r="L51" s="3" t="s">
        <v>141</v>
      </c>
      <c r="M51" s="3" t="s">
        <v>282</v>
      </c>
      <c r="N51" s="3" t="s">
        <v>283</v>
      </c>
      <c r="O51" s="3"/>
      <c r="P51" s="3" t="s">
        <v>284</v>
      </c>
      <c r="Q51" s="3" t="s">
        <v>285</v>
      </c>
      <c r="R51" s="3" t="s">
        <v>146</v>
      </c>
      <c r="S51" s="3" t="s">
        <v>147</v>
      </c>
      <c r="T51" s="3" t="s">
        <v>148</v>
      </c>
      <c r="U51" s="3" t="s">
        <v>169</v>
      </c>
      <c r="V51" s="3" t="s">
        <v>286</v>
      </c>
      <c r="W51" s="3" t="n">
        <v>13</v>
      </c>
      <c r="X51" s="3" t="n">
        <f aca="false">IF(ISNUMBER(W51),W51*3.412142,"")</f>
        <v>44.357846</v>
      </c>
      <c r="Y51" s="3" t="s">
        <v>255</v>
      </c>
      <c r="Z51" s="4"/>
      <c r="AB51" s="7"/>
      <c r="AC51" s="7"/>
      <c r="AD51" s="7"/>
      <c r="AE51" s="7"/>
    </row>
    <row r="52" s="1" customFormat="true" ht="15.75" hidden="false" customHeight="true" outlineLevel="0" collapsed="false">
      <c r="A52" s="1" t="s">
        <v>287</v>
      </c>
      <c r="B52" s="1" t="s">
        <v>27</v>
      </c>
      <c r="C52" s="5" t="s">
        <v>288</v>
      </c>
      <c r="D52" s="1" t="s">
        <v>289</v>
      </c>
      <c r="E52" s="1" t="n">
        <v>630</v>
      </c>
      <c r="J52" s="6" t="s">
        <v>30</v>
      </c>
      <c r="K52" s="5" t="s">
        <v>290</v>
      </c>
      <c r="L52" s="3" t="s">
        <v>291</v>
      </c>
      <c r="M52" s="3" t="s">
        <v>291</v>
      </c>
      <c r="N52" s="3" t="s">
        <v>292</v>
      </c>
      <c r="O52" s="3"/>
      <c r="P52" s="3" t="s">
        <v>293</v>
      </c>
      <c r="Q52" s="3" t="s">
        <v>294</v>
      </c>
      <c r="R52" s="3" t="s">
        <v>146</v>
      </c>
      <c r="S52" s="3" t="s">
        <v>147</v>
      </c>
      <c r="T52" s="3" t="s">
        <v>148</v>
      </c>
      <c r="U52" s="3" t="s">
        <v>295</v>
      </c>
      <c r="V52" s="3" t="s">
        <v>295</v>
      </c>
      <c r="W52" s="3" t="n">
        <v>0</v>
      </c>
      <c r="X52" s="3" t="n">
        <f aca="false">IF(ISNUMBER(W52),W52*3.412142,"")</f>
        <v>0</v>
      </c>
      <c r="Y52" s="3" t="s">
        <v>296</v>
      </c>
      <c r="Z52" s="4" t="s">
        <v>297</v>
      </c>
      <c r="AB52" s="7"/>
      <c r="AC52" s="7"/>
      <c r="AD52" s="7"/>
      <c r="AE52" s="7"/>
    </row>
    <row r="53" s="1" customFormat="true" ht="15.75" hidden="false" customHeight="true" outlineLevel="0" collapsed="false">
      <c r="A53" s="1" t="s">
        <v>287</v>
      </c>
      <c r="B53" s="1" t="s">
        <v>27</v>
      </c>
      <c r="C53" s="5" t="s">
        <v>298</v>
      </c>
      <c r="D53" s="1" t="s">
        <v>299</v>
      </c>
      <c r="E53" s="1" t="n">
        <v>420</v>
      </c>
      <c r="J53" s="6" t="s">
        <v>30</v>
      </c>
      <c r="K53" s="5" t="s">
        <v>290</v>
      </c>
      <c r="L53" s="3" t="s">
        <v>300</v>
      </c>
      <c r="M53" s="3"/>
      <c r="N53" s="3"/>
      <c r="O53" s="3" t="s">
        <v>301</v>
      </c>
      <c r="P53" s="3" t="s">
        <v>302</v>
      </c>
      <c r="Q53" s="3" t="s">
        <v>294</v>
      </c>
      <c r="R53" s="3" t="s">
        <v>146</v>
      </c>
      <c r="S53" s="3" t="s">
        <v>147</v>
      </c>
      <c r="T53" s="3" t="s">
        <v>148</v>
      </c>
      <c r="U53" s="3" t="s">
        <v>295</v>
      </c>
      <c r="V53" s="3" t="s">
        <v>295</v>
      </c>
      <c r="W53" s="3" t="n">
        <v>0</v>
      </c>
      <c r="X53" s="3" t="n">
        <f aca="false">IF(ISNUMBER(W53),W53*3.412142,"")</f>
        <v>0</v>
      </c>
      <c r="Y53" s="3" t="s">
        <v>296</v>
      </c>
      <c r="Z53" s="4" t="s">
        <v>303</v>
      </c>
      <c r="AB53" s="7"/>
      <c r="AC53" s="7"/>
      <c r="AD53" s="7"/>
      <c r="AE53" s="7"/>
    </row>
    <row r="54" s="1" customFormat="true" ht="15.75" hidden="false" customHeight="true" outlineLevel="0" collapsed="false">
      <c r="A54" s="1" t="s">
        <v>127</v>
      </c>
      <c r="B54" s="1" t="s">
        <v>27</v>
      </c>
      <c r="C54" s="5" t="s">
        <v>304</v>
      </c>
      <c r="D54" s="1" t="s">
        <v>305</v>
      </c>
      <c r="E54" s="1" t="n">
        <v>1360</v>
      </c>
      <c r="J54" s="6" t="s">
        <v>30</v>
      </c>
      <c r="K54" s="9" t="s">
        <v>306</v>
      </c>
      <c r="L54" s="3" t="s">
        <v>307</v>
      </c>
      <c r="M54" s="3" t="s">
        <v>308</v>
      </c>
      <c r="N54" s="3" t="s">
        <v>309</v>
      </c>
      <c r="O54" s="3"/>
      <c r="P54" s="3" t="s">
        <v>310</v>
      </c>
      <c r="Q54" s="3" t="s">
        <v>311</v>
      </c>
      <c r="R54" s="3" t="s">
        <v>148</v>
      </c>
      <c r="S54" s="3" t="s">
        <v>148</v>
      </c>
      <c r="T54" s="3" t="s">
        <v>148</v>
      </c>
      <c r="U54" s="3" t="s">
        <v>124</v>
      </c>
      <c r="V54" s="3" t="s">
        <v>125</v>
      </c>
      <c r="W54" s="3" t="n">
        <v>12</v>
      </c>
      <c r="X54" s="3" t="n">
        <f aca="false">IF(ISNUMBER(W54),W54*3.412142,"")</f>
        <v>40.945704</v>
      </c>
      <c r="Y54" s="3" t="s">
        <v>131</v>
      </c>
      <c r="Z54" s="4" t="s">
        <v>312</v>
      </c>
      <c r="AB54" s="7"/>
      <c r="AC54" s="7"/>
      <c r="AD54" s="7"/>
      <c r="AE54" s="7"/>
    </row>
    <row r="55" s="1" customFormat="true" ht="15.75" hidden="false" customHeight="true" outlineLevel="0" collapsed="false">
      <c r="A55" s="1" t="s">
        <v>127</v>
      </c>
      <c r="B55" s="1" t="s">
        <v>27</v>
      </c>
      <c r="C55" s="5" t="s">
        <v>313</v>
      </c>
      <c r="D55" s="1" t="s">
        <v>314</v>
      </c>
      <c r="E55" s="1" t="n">
        <v>2300</v>
      </c>
      <c r="J55" s="6" t="s">
        <v>30</v>
      </c>
      <c r="K55" s="9" t="s">
        <v>315</v>
      </c>
      <c r="L55" s="3" t="s">
        <v>316</v>
      </c>
      <c r="M55" s="3" t="s">
        <v>317</v>
      </c>
      <c r="N55" s="3" t="s">
        <v>318</v>
      </c>
      <c r="O55" s="3"/>
      <c r="P55" s="3" t="s">
        <v>319</v>
      </c>
      <c r="Q55" s="3" t="s">
        <v>36</v>
      </c>
      <c r="R55" s="3" t="s">
        <v>320</v>
      </c>
      <c r="S55" s="3" t="s">
        <v>321</v>
      </c>
      <c r="T55" s="3" t="s">
        <v>39</v>
      </c>
      <c r="U55" s="3" t="s">
        <v>124</v>
      </c>
      <c r="V55" s="3" t="s">
        <v>125</v>
      </c>
      <c r="W55" s="3" t="n">
        <v>12</v>
      </c>
      <c r="X55" s="3" t="n">
        <f aca="false">IF(ISNUMBER(W55),W55*3.412142,"")</f>
        <v>40.945704</v>
      </c>
      <c r="Y55" s="3" t="s">
        <v>131</v>
      </c>
      <c r="Z55" s="4"/>
      <c r="AB55" s="7"/>
      <c r="AC55" s="7"/>
      <c r="AD55" s="7"/>
      <c r="AE55" s="7"/>
    </row>
    <row r="56" s="1" customFormat="true" ht="15.75" hidden="false" customHeight="true" outlineLevel="0" collapsed="false">
      <c r="A56" s="1" t="s">
        <v>127</v>
      </c>
      <c r="B56" s="1" t="s">
        <v>27</v>
      </c>
      <c r="C56" s="5" t="s">
        <v>322</v>
      </c>
      <c r="D56" s="1" t="s">
        <v>323</v>
      </c>
      <c r="E56" s="1" t="n">
        <v>1670</v>
      </c>
      <c r="J56" s="6" t="s">
        <v>30</v>
      </c>
      <c r="K56" s="9" t="s">
        <v>324</v>
      </c>
      <c r="L56" s="3" t="s">
        <v>307</v>
      </c>
      <c r="M56" s="3" t="s">
        <v>308</v>
      </c>
      <c r="N56" s="3" t="s">
        <v>309</v>
      </c>
      <c r="O56" s="3"/>
      <c r="P56" s="3" t="s">
        <v>325</v>
      </c>
      <c r="Q56" s="3" t="s">
        <v>311</v>
      </c>
      <c r="R56" s="3" t="s">
        <v>148</v>
      </c>
      <c r="S56" s="3" t="s">
        <v>148</v>
      </c>
      <c r="T56" s="3" t="s">
        <v>148</v>
      </c>
      <c r="U56" s="3" t="s">
        <v>124</v>
      </c>
      <c r="V56" s="3" t="s">
        <v>125</v>
      </c>
      <c r="W56" s="3" t="n">
        <v>12</v>
      </c>
      <c r="X56" s="3" t="n">
        <f aca="false">IF(ISNUMBER(W56),W56*3.412142,"")</f>
        <v>40.945704</v>
      </c>
      <c r="Y56" s="3" t="s">
        <v>131</v>
      </c>
      <c r="Z56" s="4" t="s">
        <v>326</v>
      </c>
      <c r="AB56" s="7"/>
      <c r="AC56" s="7"/>
      <c r="AD56" s="7"/>
      <c r="AE56" s="7"/>
    </row>
    <row r="57" s="1" customFormat="true" ht="15.75" hidden="false" customHeight="true" outlineLevel="0" collapsed="false">
      <c r="A57" s="1" t="s">
        <v>127</v>
      </c>
      <c r="B57" s="1" t="s">
        <v>27</v>
      </c>
      <c r="C57" s="5" t="s">
        <v>327</v>
      </c>
      <c r="D57" s="1" t="s">
        <v>328</v>
      </c>
      <c r="E57" s="1" t="n">
        <v>920</v>
      </c>
      <c r="J57" s="6" t="s">
        <v>30</v>
      </c>
      <c r="K57" s="9" t="s">
        <v>329</v>
      </c>
      <c r="L57" s="3" t="s">
        <v>330</v>
      </c>
      <c r="M57" s="3" t="s">
        <v>331</v>
      </c>
      <c r="N57" s="3" t="s">
        <v>332</v>
      </c>
      <c r="O57" s="3"/>
      <c r="P57" s="3" t="s">
        <v>333</v>
      </c>
      <c r="Q57" s="3" t="s">
        <v>36</v>
      </c>
      <c r="R57" s="3" t="s">
        <v>320</v>
      </c>
      <c r="S57" s="3" t="s">
        <v>321</v>
      </c>
      <c r="T57" s="3" t="s">
        <v>39</v>
      </c>
      <c r="U57" s="3" t="s">
        <v>124</v>
      </c>
      <c r="V57" s="3" t="s">
        <v>125</v>
      </c>
      <c r="W57" s="3" t="n">
        <v>12</v>
      </c>
      <c r="X57" s="3" t="n">
        <f aca="false">IF(ISNUMBER(W57),W57*3.412142,"")</f>
        <v>40.945704</v>
      </c>
      <c r="Y57" s="3" t="s">
        <v>131</v>
      </c>
      <c r="Z57" s="4" t="s">
        <v>334</v>
      </c>
      <c r="AB57" s="7"/>
      <c r="AC57" s="7"/>
      <c r="AD57" s="7"/>
      <c r="AE57" s="7"/>
    </row>
    <row r="58" s="1" customFormat="true" ht="15.75" hidden="false" customHeight="true" outlineLevel="0" collapsed="false">
      <c r="A58" s="1" t="s">
        <v>127</v>
      </c>
      <c r="B58" s="1" t="s">
        <v>27</v>
      </c>
      <c r="C58" s="5" t="s">
        <v>335</v>
      </c>
      <c r="D58" s="1" t="s">
        <v>336</v>
      </c>
      <c r="E58" s="1" t="n">
        <v>2180</v>
      </c>
      <c r="J58" s="6" t="s">
        <v>30</v>
      </c>
      <c r="K58" s="9" t="s">
        <v>337</v>
      </c>
      <c r="L58" s="3" t="s">
        <v>330</v>
      </c>
      <c r="M58" s="3" t="s">
        <v>317</v>
      </c>
      <c r="N58" s="3" t="s">
        <v>332</v>
      </c>
      <c r="O58" s="3"/>
      <c r="P58" s="3" t="s">
        <v>123</v>
      </c>
      <c r="Q58" s="3" t="s">
        <v>36</v>
      </c>
      <c r="R58" s="3" t="s">
        <v>320</v>
      </c>
      <c r="S58" s="3" t="s">
        <v>321</v>
      </c>
      <c r="T58" s="3" t="s">
        <v>39</v>
      </c>
      <c r="U58" s="3" t="s">
        <v>124</v>
      </c>
      <c r="V58" s="3" t="s">
        <v>125</v>
      </c>
      <c r="W58" s="3" t="n">
        <v>12</v>
      </c>
      <c r="X58" s="3" t="n">
        <f aca="false">IF(ISNUMBER(W58),W58*3.412142,"")</f>
        <v>40.945704</v>
      </c>
      <c r="Y58" s="3" t="s">
        <v>131</v>
      </c>
      <c r="Z58" s="4"/>
      <c r="AB58" s="7"/>
      <c r="AC58" s="7"/>
      <c r="AD58" s="7"/>
      <c r="AE58" s="7"/>
    </row>
    <row r="59" s="1" customFormat="true" ht="15.75" hidden="false" customHeight="true" outlineLevel="0" collapsed="false">
      <c r="A59" s="1" t="s">
        <v>127</v>
      </c>
      <c r="B59" s="1" t="s">
        <v>27</v>
      </c>
      <c r="C59" s="5" t="s">
        <v>338</v>
      </c>
      <c r="D59" s="1" t="s">
        <v>339</v>
      </c>
      <c r="E59" s="1" t="n">
        <v>1690</v>
      </c>
      <c r="J59" s="6" t="s">
        <v>30</v>
      </c>
      <c r="K59" s="9" t="s">
        <v>340</v>
      </c>
      <c r="L59" s="3" t="s">
        <v>308</v>
      </c>
      <c r="M59" s="3" t="s">
        <v>317</v>
      </c>
      <c r="N59" s="3" t="s">
        <v>341</v>
      </c>
      <c r="O59" s="3"/>
      <c r="P59" s="3" t="s">
        <v>342</v>
      </c>
      <c r="Q59" s="3" t="s">
        <v>36</v>
      </c>
      <c r="R59" s="3" t="s">
        <v>320</v>
      </c>
      <c r="S59" s="3" t="s">
        <v>321</v>
      </c>
      <c r="T59" s="3" t="s">
        <v>39</v>
      </c>
      <c r="U59" s="3" t="s">
        <v>124</v>
      </c>
      <c r="V59" s="3" t="s">
        <v>125</v>
      </c>
      <c r="W59" s="3" t="n">
        <v>12</v>
      </c>
      <c r="X59" s="3" t="n">
        <f aca="false">IF(ISNUMBER(W59),W59*3.412142,"")</f>
        <v>40.945704</v>
      </c>
      <c r="Y59" s="3" t="s">
        <v>131</v>
      </c>
      <c r="Z59" s="4"/>
      <c r="AB59" s="7"/>
      <c r="AC59" s="7"/>
      <c r="AD59" s="7"/>
      <c r="AE59" s="7"/>
    </row>
    <row r="60" s="1" customFormat="true" ht="15.75" hidden="false" customHeight="true" outlineLevel="0" collapsed="false">
      <c r="A60" s="1" t="s">
        <v>133</v>
      </c>
      <c r="B60" s="1" t="s">
        <v>27</v>
      </c>
      <c r="C60" s="5" t="s">
        <v>343</v>
      </c>
      <c r="D60" s="1" t="s">
        <v>344</v>
      </c>
      <c r="E60" s="1" t="n">
        <v>930</v>
      </c>
      <c r="J60" s="6" t="s">
        <v>30</v>
      </c>
      <c r="K60" s="9" t="s">
        <v>345</v>
      </c>
      <c r="L60" s="3" t="s">
        <v>330</v>
      </c>
      <c r="M60" s="3" t="s">
        <v>331</v>
      </c>
      <c r="N60" s="3" t="s">
        <v>332</v>
      </c>
      <c r="O60" s="3"/>
      <c r="P60" s="3" t="s">
        <v>333</v>
      </c>
      <c r="Q60" s="3" t="s">
        <v>36</v>
      </c>
      <c r="R60" s="3" t="s">
        <v>320</v>
      </c>
      <c r="S60" s="3" t="s">
        <v>321</v>
      </c>
      <c r="T60" s="3" t="s">
        <v>39</v>
      </c>
      <c r="U60" s="3" t="s">
        <v>124</v>
      </c>
      <c r="V60" s="3" t="s">
        <v>125</v>
      </c>
      <c r="W60" s="3" t="n">
        <v>12</v>
      </c>
      <c r="X60" s="3" t="n">
        <f aca="false">IF(ISNUMBER(W60),W60*3.412142,"")</f>
        <v>40.945704</v>
      </c>
      <c r="Y60" s="3" t="s">
        <v>131</v>
      </c>
      <c r="Z60" s="4" t="s">
        <v>346</v>
      </c>
      <c r="AB60" s="7"/>
      <c r="AC60" s="7"/>
      <c r="AD60" s="7"/>
      <c r="AE60" s="7"/>
    </row>
    <row r="61" s="1" customFormat="true" ht="15.75" hidden="false" customHeight="true" outlineLevel="0" collapsed="false">
      <c r="A61" s="1" t="s">
        <v>133</v>
      </c>
      <c r="B61" s="1" t="s">
        <v>27</v>
      </c>
      <c r="C61" s="5" t="s">
        <v>347</v>
      </c>
      <c r="D61" s="1" t="s">
        <v>348</v>
      </c>
      <c r="E61" s="1" t="n">
        <v>2180</v>
      </c>
      <c r="J61" s="6" t="s">
        <v>30</v>
      </c>
      <c r="K61" s="9" t="s">
        <v>349</v>
      </c>
      <c r="L61" s="3" t="s">
        <v>330</v>
      </c>
      <c r="M61" s="3" t="s">
        <v>350</v>
      </c>
      <c r="N61" s="3" t="s">
        <v>332</v>
      </c>
      <c r="O61" s="3"/>
      <c r="P61" s="3" t="s">
        <v>351</v>
      </c>
      <c r="Q61" s="3" t="s">
        <v>36</v>
      </c>
      <c r="R61" s="3" t="s">
        <v>320</v>
      </c>
      <c r="S61" s="3" t="s">
        <v>321</v>
      </c>
      <c r="T61" s="3" t="s">
        <v>39</v>
      </c>
      <c r="U61" s="3" t="s">
        <v>124</v>
      </c>
      <c r="V61" s="3" t="s">
        <v>125</v>
      </c>
      <c r="W61" s="3" t="n">
        <v>12</v>
      </c>
      <c r="X61" s="3" t="n">
        <f aca="false">IF(ISNUMBER(W61),W61*3.412142,"")</f>
        <v>40.945704</v>
      </c>
      <c r="Y61" s="3" t="s">
        <v>131</v>
      </c>
      <c r="Z61" s="4"/>
      <c r="AB61" s="7"/>
      <c r="AC61" s="7"/>
      <c r="AD61" s="7"/>
      <c r="AE61" s="7"/>
    </row>
    <row r="62" s="1" customFormat="true" ht="15.75" hidden="false" customHeight="true" outlineLevel="0" collapsed="false">
      <c r="A62" s="1" t="s">
        <v>127</v>
      </c>
      <c r="B62" s="1" t="s">
        <v>27</v>
      </c>
      <c r="C62" s="5" t="s">
        <v>352</v>
      </c>
      <c r="D62" s="1" t="s">
        <v>353</v>
      </c>
      <c r="E62" s="1" t="n">
        <v>600</v>
      </c>
      <c r="J62" s="6" t="s">
        <v>30</v>
      </c>
      <c r="K62" s="9" t="s">
        <v>354</v>
      </c>
      <c r="L62" s="3" t="s">
        <v>330</v>
      </c>
      <c r="M62" s="3" t="s">
        <v>331</v>
      </c>
      <c r="N62" s="3" t="s">
        <v>355</v>
      </c>
      <c r="O62" s="3"/>
      <c r="P62" s="3" t="s">
        <v>148</v>
      </c>
      <c r="Q62" s="3" t="s">
        <v>36</v>
      </c>
      <c r="R62" s="3" t="s">
        <v>320</v>
      </c>
      <c r="S62" s="3" t="s">
        <v>321</v>
      </c>
      <c r="T62" s="3" t="s">
        <v>39</v>
      </c>
      <c r="U62" s="3" t="s">
        <v>124</v>
      </c>
      <c r="V62" s="3" t="s">
        <v>125</v>
      </c>
      <c r="W62" s="3" t="n">
        <v>12</v>
      </c>
      <c r="X62" s="3" t="n">
        <f aca="false">IF(ISNUMBER(W62),W62*3.412142,"")</f>
        <v>40.945704</v>
      </c>
      <c r="Y62" s="3" t="s">
        <v>131</v>
      </c>
      <c r="Z62" s="4"/>
      <c r="AB62" s="7"/>
      <c r="AC62" s="7"/>
      <c r="AD62" s="7"/>
      <c r="AE62" s="7"/>
    </row>
    <row r="63" s="1" customFormat="true" ht="15.75" hidden="false" customHeight="true" outlineLevel="0" collapsed="false">
      <c r="A63" s="1" t="s">
        <v>127</v>
      </c>
      <c r="B63" s="1" t="s">
        <v>27</v>
      </c>
      <c r="C63" s="5" t="s">
        <v>356</v>
      </c>
      <c r="D63" s="1" t="s">
        <v>357</v>
      </c>
      <c r="E63" s="1" t="n">
        <v>740</v>
      </c>
      <c r="J63" s="6" t="s">
        <v>30</v>
      </c>
      <c r="K63" s="9" t="s">
        <v>358</v>
      </c>
      <c r="L63" s="3" t="s">
        <v>307</v>
      </c>
      <c r="M63" s="3" t="s">
        <v>308</v>
      </c>
      <c r="N63" s="3" t="s">
        <v>309</v>
      </c>
      <c r="O63" s="3"/>
      <c r="P63" s="3" t="s">
        <v>359</v>
      </c>
      <c r="Q63" s="3" t="s">
        <v>311</v>
      </c>
      <c r="R63" s="3" t="s">
        <v>148</v>
      </c>
      <c r="S63" s="3" t="s">
        <v>148</v>
      </c>
      <c r="T63" s="3" t="s">
        <v>148</v>
      </c>
      <c r="U63" s="3" t="s">
        <v>360</v>
      </c>
      <c r="V63" s="3" t="s">
        <v>254</v>
      </c>
      <c r="W63" s="3" t="n">
        <v>15</v>
      </c>
      <c r="X63" s="3" t="n">
        <f aca="false">IF(ISNUMBER(W63),W63*3.412142,"")</f>
        <v>51.18213</v>
      </c>
      <c r="Y63" s="3" t="s">
        <v>361</v>
      </c>
      <c r="Z63" s="4" t="s">
        <v>362</v>
      </c>
      <c r="AB63" s="7"/>
      <c r="AC63" s="7"/>
      <c r="AD63" s="7"/>
      <c r="AE63" s="7"/>
    </row>
    <row r="64" s="1" customFormat="true" ht="15.75" hidden="false" customHeight="true" outlineLevel="0" collapsed="false">
      <c r="A64" s="1" t="s">
        <v>127</v>
      </c>
      <c r="B64" s="1" t="s">
        <v>27</v>
      </c>
      <c r="C64" s="5" t="s">
        <v>363</v>
      </c>
      <c r="D64" s="1" t="s">
        <v>364</v>
      </c>
      <c r="E64" s="1" t="n">
        <v>1350</v>
      </c>
      <c r="J64" s="6" t="s">
        <v>30</v>
      </c>
      <c r="K64" s="9" t="s">
        <v>365</v>
      </c>
      <c r="L64" s="3" t="s">
        <v>366</v>
      </c>
      <c r="M64" s="3" t="s">
        <v>367</v>
      </c>
      <c r="N64" s="3" t="s">
        <v>368</v>
      </c>
      <c r="O64" s="3"/>
      <c r="P64" s="3" t="s">
        <v>310</v>
      </c>
      <c r="Q64" s="3" t="s">
        <v>311</v>
      </c>
      <c r="R64" s="3" t="s">
        <v>148</v>
      </c>
      <c r="S64" s="3" t="s">
        <v>148</v>
      </c>
      <c r="T64" s="3" t="s">
        <v>148</v>
      </c>
      <c r="U64" s="3" t="s">
        <v>360</v>
      </c>
      <c r="V64" s="3" t="s">
        <v>254</v>
      </c>
      <c r="W64" s="3" t="n">
        <v>15</v>
      </c>
      <c r="X64" s="3" t="n">
        <f aca="false">IF(ISNUMBER(W64),W64*3.412142,"")</f>
        <v>51.18213</v>
      </c>
      <c r="Y64" s="3" t="s">
        <v>361</v>
      </c>
      <c r="Z64" s="4" t="s">
        <v>369</v>
      </c>
      <c r="AB64" s="7"/>
      <c r="AC64" s="7"/>
      <c r="AD64" s="7"/>
      <c r="AE64" s="7"/>
    </row>
    <row r="65" s="1" customFormat="true" ht="15.75" hidden="false" customHeight="true" outlineLevel="0" collapsed="false">
      <c r="A65" s="1" t="s">
        <v>127</v>
      </c>
      <c r="B65" s="1" t="s">
        <v>27</v>
      </c>
      <c r="C65" s="5" t="s">
        <v>370</v>
      </c>
      <c r="D65" s="1" t="s">
        <v>371</v>
      </c>
      <c r="E65" s="1" t="n">
        <v>3470</v>
      </c>
      <c r="J65" s="6" t="s">
        <v>30</v>
      </c>
      <c r="K65" s="9" t="s">
        <v>372</v>
      </c>
      <c r="L65" s="3" t="s">
        <v>316</v>
      </c>
      <c r="M65" s="3" t="s">
        <v>373</v>
      </c>
      <c r="N65" s="3" t="s">
        <v>374</v>
      </c>
      <c r="O65" s="3"/>
      <c r="P65" s="3" t="s">
        <v>375</v>
      </c>
      <c r="Q65" s="3" t="s">
        <v>65</v>
      </c>
      <c r="R65" s="3" t="s">
        <v>66</v>
      </c>
      <c r="S65" s="3" t="s">
        <v>320</v>
      </c>
      <c r="T65" s="3" t="s">
        <v>39</v>
      </c>
      <c r="U65" s="3" t="s">
        <v>40</v>
      </c>
      <c r="V65" s="3" t="s">
        <v>376</v>
      </c>
      <c r="W65" s="3" t="n">
        <v>80</v>
      </c>
      <c r="X65" s="3" t="n">
        <f aca="false">IF(ISNUMBER(W65),W65*3.412142,"")</f>
        <v>272.97136</v>
      </c>
      <c r="Y65" s="3" t="s">
        <v>42</v>
      </c>
      <c r="Z65" s="4" t="s">
        <v>377</v>
      </c>
      <c r="AB65" s="7"/>
      <c r="AC65" s="7"/>
      <c r="AD65" s="7"/>
      <c r="AE65" s="7"/>
    </row>
    <row r="66" s="1" customFormat="true" ht="15.75" hidden="false" customHeight="true" outlineLevel="0" collapsed="false">
      <c r="A66" s="1" t="s">
        <v>127</v>
      </c>
      <c r="B66" s="1" t="s">
        <v>27</v>
      </c>
      <c r="C66" s="5" t="s">
        <v>378</v>
      </c>
      <c r="D66" s="1" t="s">
        <v>379</v>
      </c>
      <c r="E66" s="1" t="n">
        <v>1830</v>
      </c>
      <c r="J66" s="6" t="s">
        <v>30</v>
      </c>
      <c r="K66" s="9" t="s">
        <v>380</v>
      </c>
      <c r="L66" s="3" t="s">
        <v>141</v>
      </c>
      <c r="M66" s="3" t="s">
        <v>142</v>
      </c>
      <c r="N66" s="3" t="s">
        <v>143</v>
      </c>
      <c r="O66" s="3"/>
      <c r="P66" s="3" t="s">
        <v>144</v>
      </c>
      <c r="Q66" s="3" t="s">
        <v>145</v>
      </c>
      <c r="R66" s="3" t="s">
        <v>146</v>
      </c>
      <c r="S66" s="3" t="s">
        <v>147</v>
      </c>
      <c r="T66" s="3" t="s">
        <v>148</v>
      </c>
      <c r="U66" s="3" t="s">
        <v>360</v>
      </c>
      <c r="V66" s="3" t="s">
        <v>254</v>
      </c>
      <c r="W66" s="3" t="n">
        <v>15</v>
      </c>
      <c r="X66" s="3" t="n">
        <f aca="false">IF(ISNUMBER(W66),W66*3.412142,"")</f>
        <v>51.18213</v>
      </c>
      <c r="Y66" s="3" t="s">
        <v>361</v>
      </c>
      <c r="Z66" s="4"/>
      <c r="AB66" s="7"/>
      <c r="AC66" s="7"/>
      <c r="AD66" s="7"/>
      <c r="AE66" s="7"/>
    </row>
    <row r="67" s="1" customFormat="true" ht="15.75" hidden="false" customHeight="true" outlineLevel="0" collapsed="false">
      <c r="A67" s="1" t="s">
        <v>127</v>
      </c>
      <c r="B67" s="1" t="s">
        <v>27</v>
      </c>
      <c r="C67" s="5" t="s">
        <v>381</v>
      </c>
      <c r="D67" s="1" t="s">
        <v>382</v>
      </c>
      <c r="E67" s="1" t="n">
        <v>1710</v>
      </c>
      <c r="J67" s="6" t="s">
        <v>30</v>
      </c>
      <c r="K67" s="9" t="s">
        <v>383</v>
      </c>
      <c r="L67" s="3" t="s">
        <v>46</v>
      </c>
      <c r="M67" s="3" t="s">
        <v>55</v>
      </c>
      <c r="N67" s="3" t="s">
        <v>48</v>
      </c>
      <c r="O67" s="3"/>
      <c r="P67" s="3" t="s">
        <v>49</v>
      </c>
      <c r="Q67" s="3" t="s">
        <v>36</v>
      </c>
      <c r="R67" s="3" t="s">
        <v>37</v>
      </c>
      <c r="S67" s="3" t="s">
        <v>38</v>
      </c>
      <c r="T67" s="3" t="s">
        <v>39</v>
      </c>
      <c r="U67" s="3" t="s">
        <v>360</v>
      </c>
      <c r="V67" s="3" t="s">
        <v>254</v>
      </c>
      <c r="W67" s="3" t="n">
        <v>15</v>
      </c>
      <c r="X67" s="3" t="n">
        <f aca="false">IF(ISNUMBER(W67),W67*3.412142,"")</f>
        <v>51.18213</v>
      </c>
      <c r="Y67" s="3" t="s">
        <v>361</v>
      </c>
      <c r="Z67" s="4"/>
      <c r="AB67" s="7"/>
      <c r="AC67" s="7"/>
      <c r="AD67" s="7"/>
      <c r="AE67" s="7"/>
    </row>
    <row r="68" s="1" customFormat="true" ht="15.75" hidden="false" customHeight="true" outlineLevel="0" collapsed="false">
      <c r="A68" s="1" t="s">
        <v>127</v>
      </c>
      <c r="B68" s="1" t="s">
        <v>27</v>
      </c>
      <c r="C68" s="5" t="s">
        <v>384</v>
      </c>
      <c r="D68" s="1" t="s">
        <v>385</v>
      </c>
      <c r="E68" s="1" t="n">
        <v>980</v>
      </c>
      <c r="J68" s="6" t="s">
        <v>30</v>
      </c>
      <c r="K68" s="9" t="s">
        <v>386</v>
      </c>
      <c r="L68" s="3" t="s">
        <v>46</v>
      </c>
      <c r="M68" s="3" t="s">
        <v>122</v>
      </c>
      <c r="N68" s="3" t="s">
        <v>48</v>
      </c>
      <c r="O68" s="3"/>
      <c r="P68" s="3" t="s">
        <v>123</v>
      </c>
      <c r="Q68" s="3" t="s">
        <v>36</v>
      </c>
      <c r="R68" s="3" t="s">
        <v>37</v>
      </c>
      <c r="S68" s="3" t="s">
        <v>38</v>
      </c>
      <c r="T68" s="3" t="s">
        <v>39</v>
      </c>
      <c r="U68" s="3" t="s">
        <v>124</v>
      </c>
      <c r="V68" s="3" t="s">
        <v>125</v>
      </c>
      <c r="W68" s="3" t="n">
        <v>12</v>
      </c>
      <c r="X68" s="3" t="n">
        <f aca="false">IF(ISNUMBER(W68),W68*3.412142,"")</f>
        <v>40.945704</v>
      </c>
      <c r="Y68" s="3" t="s">
        <v>131</v>
      </c>
      <c r="Z68" s="4"/>
      <c r="AB68" s="7"/>
      <c r="AC68" s="7"/>
      <c r="AD68" s="7"/>
      <c r="AE68" s="7"/>
    </row>
    <row r="69" s="1" customFormat="true" ht="15.75" hidden="false" customHeight="true" outlineLevel="0" collapsed="false">
      <c r="A69" s="1" t="s">
        <v>127</v>
      </c>
      <c r="B69" s="1" t="s">
        <v>27</v>
      </c>
      <c r="C69" s="5" t="s">
        <v>387</v>
      </c>
      <c r="D69" s="1" t="s">
        <v>388</v>
      </c>
      <c r="E69" s="1" t="n">
        <v>1340</v>
      </c>
      <c r="J69" s="6" t="s">
        <v>30</v>
      </c>
      <c r="K69" s="9" t="s">
        <v>389</v>
      </c>
      <c r="L69" s="3" t="s">
        <v>141</v>
      </c>
      <c r="M69" s="3" t="s">
        <v>142</v>
      </c>
      <c r="N69" s="3" t="s">
        <v>143</v>
      </c>
      <c r="O69" s="3"/>
      <c r="P69" s="3" t="s">
        <v>144</v>
      </c>
      <c r="Q69" s="3" t="s">
        <v>145</v>
      </c>
      <c r="R69" s="3" t="s">
        <v>146</v>
      </c>
      <c r="S69" s="3" t="s">
        <v>147</v>
      </c>
      <c r="T69" s="3" t="s">
        <v>148</v>
      </c>
      <c r="U69" s="3" t="s">
        <v>360</v>
      </c>
      <c r="V69" s="3" t="s">
        <v>254</v>
      </c>
      <c r="W69" s="3" t="n">
        <v>15</v>
      </c>
      <c r="X69" s="3" t="n">
        <f aca="false">IF(ISNUMBER(W69),W69*3.412142,"")</f>
        <v>51.18213</v>
      </c>
      <c r="Y69" s="3" t="s">
        <v>361</v>
      </c>
      <c r="Z69" s="4" t="s">
        <v>390</v>
      </c>
      <c r="AB69" s="7"/>
      <c r="AC69" s="7"/>
      <c r="AD69" s="7"/>
      <c r="AE69" s="7"/>
    </row>
    <row r="70" s="1" customFormat="true" ht="15.75" hidden="false" customHeight="true" outlineLevel="0" collapsed="false">
      <c r="A70" s="1" t="s">
        <v>127</v>
      </c>
      <c r="B70" s="1" t="s">
        <v>27</v>
      </c>
      <c r="C70" s="5" t="s">
        <v>391</v>
      </c>
      <c r="D70" s="1" t="s">
        <v>392</v>
      </c>
      <c r="E70" s="1" t="n">
        <v>690</v>
      </c>
      <c r="J70" s="6" t="s">
        <v>30</v>
      </c>
      <c r="K70" s="9" t="s">
        <v>354</v>
      </c>
      <c r="L70" s="3" t="s">
        <v>46</v>
      </c>
      <c r="M70" s="3" t="s">
        <v>122</v>
      </c>
      <c r="N70" s="3" t="s">
        <v>48</v>
      </c>
      <c r="O70" s="3"/>
      <c r="P70" s="3" t="s">
        <v>123</v>
      </c>
      <c r="Q70" s="3" t="s">
        <v>36</v>
      </c>
      <c r="R70" s="3" t="s">
        <v>37</v>
      </c>
      <c r="S70" s="3" t="s">
        <v>38</v>
      </c>
      <c r="T70" s="3" t="s">
        <v>39</v>
      </c>
      <c r="U70" s="3" t="s">
        <v>124</v>
      </c>
      <c r="V70" s="3" t="s">
        <v>125</v>
      </c>
      <c r="W70" s="3" t="n">
        <v>12</v>
      </c>
      <c r="X70" s="3" t="n">
        <f aca="false">IF(ISNUMBER(W70),W70*3.412142,"")</f>
        <v>40.945704</v>
      </c>
      <c r="Y70" s="3" t="s">
        <v>131</v>
      </c>
      <c r="Z70" s="4"/>
      <c r="AB70" s="7"/>
      <c r="AC70" s="7"/>
      <c r="AD70" s="7"/>
      <c r="AE70" s="7"/>
    </row>
    <row r="71" s="1" customFormat="true" ht="15.75" hidden="false" customHeight="true" outlineLevel="0" collapsed="false">
      <c r="A71" s="1" t="s">
        <v>127</v>
      </c>
      <c r="B71" s="1" t="s">
        <v>27</v>
      </c>
      <c r="C71" s="5" t="s">
        <v>393</v>
      </c>
      <c r="D71" s="1" t="s">
        <v>394</v>
      </c>
      <c r="E71" s="1" t="n">
        <v>3960</v>
      </c>
      <c r="J71" s="6" t="s">
        <v>30</v>
      </c>
      <c r="K71" s="9" t="s">
        <v>372</v>
      </c>
      <c r="L71" s="3" t="s">
        <v>141</v>
      </c>
      <c r="M71" s="3" t="s">
        <v>142</v>
      </c>
      <c r="N71" s="3" t="s">
        <v>143</v>
      </c>
      <c r="O71" s="3"/>
      <c r="P71" s="3" t="s">
        <v>144</v>
      </c>
      <c r="Q71" s="3" t="s">
        <v>145</v>
      </c>
      <c r="R71" s="3" t="s">
        <v>146</v>
      </c>
      <c r="S71" s="3" t="s">
        <v>147</v>
      </c>
      <c r="T71" s="3" t="s">
        <v>148</v>
      </c>
      <c r="U71" s="3" t="s">
        <v>40</v>
      </c>
      <c r="V71" s="3" t="s">
        <v>376</v>
      </c>
      <c r="W71" s="3" t="n">
        <v>80</v>
      </c>
      <c r="X71" s="3" t="n">
        <f aca="false">IF(ISNUMBER(W71),W71*3.412142,"")</f>
        <v>272.97136</v>
      </c>
      <c r="Y71" s="3" t="s">
        <v>42</v>
      </c>
      <c r="Z71" s="4" t="s">
        <v>395</v>
      </c>
      <c r="AB71" s="7"/>
      <c r="AC71" s="7"/>
      <c r="AD71" s="7"/>
      <c r="AE71" s="7"/>
    </row>
    <row r="72" s="1" customFormat="true" ht="15.75" hidden="false" customHeight="true" outlineLevel="0" collapsed="false">
      <c r="A72" s="1" t="s">
        <v>127</v>
      </c>
      <c r="B72" s="1" t="s">
        <v>27</v>
      </c>
      <c r="C72" s="5" t="s">
        <v>396</v>
      </c>
      <c r="D72" s="1" t="s">
        <v>397</v>
      </c>
      <c r="E72" s="1" t="n">
        <v>1460</v>
      </c>
      <c r="J72" s="6" t="s">
        <v>30</v>
      </c>
      <c r="K72" s="9" t="s">
        <v>398</v>
      </c>
      <c r="L72" s="3" t="s">
        <v>46</v>
      </c>
      <c r="M72" s="3" t="s">
        <v>55</v>
      </c>
      <c r="N72" s="3" t="s">
        <v>48</v>
      </c>
      <c r="O72" s="3"/>
      <c r="P72" s="3" t="s">
        <v>49</v>
      </c>
      <c r="Q72" s="3" t="s">
        <v>36</v>
      </c>
      <c r="R72" s="3" t="s">
        <v>37</v>
      </c>
      <c r="S72" s="3" t="s">
        <v>38</v>
      </c>
      <c r="T72" s="3" t="s">
        <v>39</v>
      </c>
      <c r="U72" s="3" t="s">
        <v>124</v>
      </c>
      <c r="V72" s="3" t="s">
        <v>125</v>
      </c>
      <c r="W72" s="3" t="n">
        <v>12</v>
      </c>
      <c r="X72" s="3" t="n">
        <f aca="false">IF(ISNUMBER(W72),W72*3.412142,"")</f>
        <v>40.945704</v>
      </c>
      <c r="Y72" s="3" t="s">
        <v>131</v>
      </c>
      <c r="Z72" s="4"/>
      <c r="AB72" s="7"/>
      <c r="AC72" s="7"/>
      <c r="AD72" s="7"/>
      <c r="AE72" s="7"/>
    </row>
    <row r="73" s="1" customFormat="true" ht="15.75" hidden="false" customHeight="true" outlineLevel="0" collapsed="false">
      <c r="A73" s="1" t="s">
        <v>127</v>
      </c>
      <c r="B73" s="1" t="s">
        <v>27</v>
      </c>
      <c r="C73" s="5" t="s">
        <v>399</v>
      </c>
      <c r="D73" s="1" t="s">
        <v>400</v>
      </c>
      <c r="E73" s="1" t="n">
        <v>1950</v>
      </c>
      <c r="J73" s="6" t="s">
        <v>30</v>
      </c>
      <c r="K73" s="9" t="s">
        <v>380</v>
      </c>
      <c r="L73" s="3" t="s">
        <v>141</v>
      </c>
      <c r="M73" s="3" t="s">
        <v>142</v>
      </c>
      <c r="N73" s="3" t="s">
        <v>143</v>
      </c>
      <c r="O73" s="3"/>
      <c r="P73" s="3" t="s">
        <v>144</v>
      </c>
      <c r="Q73" s="3" t="s">
        <v>145</v>
      </c>
      <c r="R73" s="3" t="s">
        <v>146</v>
      </c>
      <c r="S73" s="3" t="s">
        <v>147</v>
      </c>
      <c r="T73" s="3" t="s">
        <v>148</v>
      </c>
      <c r="U73" s="3" t="s">
        <v>360</v>
      </c>
      <c r="V73" s="3" t="s">
        <v>254</v>
      </c>
      <c r="W73" s="3" t="n">
        <v>15</v>
      </c>
      <c r="X73" s="3" t="n">
        <f aca="false">IF(ISNUMBER(W73),W73*3.412142,"")</f>
        <v>51.18213</v>
      </c>
      <c r="Y73" s="3" t="s">
        <v>361</v>
      </c>
      <c r="Z73" s="4"/>
      <c r="AB73" s="7"/>
      <c r="AC73" s="7"/>
      <c r="AD73" s="7"/>
      <c r="AE73" s="7"/>
    </row>
    <row r="74" s="1" customFormat="true" ht="15.75" hidden="false" customHeight="true" outlineLevel="0" collapsed="false">
      <c r="A74" s="1" t="s">
        <v>127</v>
      </c>
      <c r="B74" s="1" t="s">
        <v>27</v>
      </c>
      <c r="C74" s="5" t="s">
        <v>401</v>
      </c>
      <c r="D74" s="1" t="s">
        <v>402</v>
      </c>
      <c r="E74" s="1" t="n">
        <v>1110</v>
      </c>
      <c r="J74" s="6" t="s">
        <v>30</v>
      </c>
      <c r="K74" s="9" t="s">
        <v>386</v>
      </c>
      <c r="L74" s="3" t="s">
        <v>46</v>
      </c>
      <c r="M74" s="3" t="s">
        <v>122</v>
      </c>
      <c r="N74" s="3" t="s">
        <v>48</v>
      </c>
      <c r="O74" s="3"/>
      <c r="P74" s="3" t="s">
        <v>123</v>
      </c>
      <c r="Q74" s="3" t="s">
        <v>36</v>
      </c>
      <c r="R74" s="3" t="s">
        <v>37</v>
      </c>
      <c r="S74" s="3" t="s">
        <v>38</v>
      </c>
      <c r="T74" s="3" t="s">
        <v>39</v>
      </c>
      <c r="U74" s="3" t="s">
        <v>124</v>
      </c>
      <c r="V74" s="3" t="s">
        <v>125</v>
      </c>
      <c r="W74" s="3" t="n">
        <v>12</v>
      </c>
      <c r="X74" s="3" t="n">
        <f aca="false">IF(ISNUMBER(W74),W74*3.412142,"")</f>
        <v>40.945704</v>
      </c>
      <c r="Y74" s="3" t="s">
        <v>131</v>
      </c>
      <c r="Z74" s="4"/>
      <c r="AB74" s="7"/>
      <c r="AC74" s="7"/>
      <c r="AD74" s="7"/>
      <c r="AE74" s="7"/>
    </row>
    <row r="75" s="1" customFormat="true" ht="15.75" hidden="false" customHeight="true" outlineLevel="0" collapsed="false">
      <c r="A75" s="1" t="s">
        <v>127</v>
      </c>
      <c r="B75" s="1" t="s">
        <v>27</v>
      </c>
      <c r="C75" s="5" t="s">
        <v>403</v>
      </c>
      <c r="D75" s="1" t="s">
        <v>404</v>
      </c>
      <c r="E75" s="1" t="n">
        <v>870</v>
      </c>
      <c r="J75" s="6" t="s">
        <v>30</v>
      </c>
      <c r="K75" s="9" t="s">
        <v>358</v>
      </c>
      <c r="L75" s="3" t="s">
        <v>141</v>
      </c>
      <c r="M75" s="3" t="s">
        <v>142</v>
      </c>
      <c r="N75" s="3" t="s">
        <v>143</v>
      </c>
      <c r="O75" s="3"/>
      <c r="P75" s="3" t="s">
        <v>144</v>
      </c>
      <c r="Q75" s="3" t="s">
        <v>145</v>
      </c>
      <c r="R75" s="3" t="s">
        <v>146</v>
      </c>
      <c r="S75" s="3" t="s">
        <v>147</v>
      </c>
      <c r="T75" s="3" t="s">
        <v>148</v>
      </c>
      <c r="U75" s="3" t="s">
        <v>360</v>
      </c>
      <c r="V75" s="3" t="s">
        <v>254</v>
      </c>
      <c r="W75" s="3" t="n">
        <v>15</v>
      </c>
      <c r="X75" s="3" t="n">
        <f aca="false">IF(ISNUMBER(W75),W75*3.412142,"")</f>
        <v>51.18213</v>
      </c>
      <c r="Y75" s="3" t="s">
        <v>361</v>
      </c>
      <c r="Z75" s="4" t="s">
        <v>405</v>
      </c>
      <c r="AB75" s="7"/>
      <c r="AC75" s="7"/>
      <c r="AD75" s="7"/>
      <c r="AE75" s="7"/>
    </row>
    <row r="76" s="1" customFormat="true" ht="15.75" hidden="false" customHeight="true" outlineLevel="0" collapsed="false">
      <c r="A76" s="1" t="s">
        <v>127</v>
      </c>
      <c r="B76" s="1" t="s">
        <v>27</v>
      </c>
      <c r="C76" s="5" t="s">
        <v>406</v>
      </c>
      <c r="D76" s="1" t="s">
        <v>407</v>
      </c>
      <c r="E76" s="1" t="n">
        <v>1830</v>
      </c>
      <c r="J76" s="6" t="s">
        <v>30</v>
      </c>
      <c r="K76" s="9" t="s">
        <v>383</v>
      </c>
      <c r="L76" s="3" t="s">
        <v>46</v>
      </c>
      <c r="M76" s="3" t="s">
        <v>55</v>
      </c>
      <c r="N76" s="3" t="s">
        <v>48</v>
      </c>
      <c r="O76" s="3"/>
      <c r="P76" s="3" t="s">
        <v>49</v>
      </c>
      <c r="Q76" s="3" t="s">
        <v>36</v>
      </c>
      <c r="R76" s="3" t="s">
        <v>37</v>
      </c>
      <c r="S76" s="3" t="s">
        <v>38</v>
      </c>
      <c r="T76" s="3" t="s">
        <v>39</v>
      </c>
      <c r="U76" s="3" t="s">
        <v>360</v>
      </c>
      <c r="V76" s="3" t="s">
        <v>254</v>
      </c>
      <c r="W76" s="3" t="n">
        <v>15</v>
      </c>
      <c r="X76" s="3" t="n">
        <f aca="false">IF(ISNUMBER(W76),W76*3.412142,"")</f>
        <v>51.18213</v>
      </c>
      <c r="Y76" s="3" t="s">
        <v>361</v>
      </c>
      <c r="Z76" s="4"/>
      <c r="AB76" s="7"/>
      <c r="AC76" s="7"/>
      <c r="AD76" s="7"/>
      <c r="AE76" s="7"/>
    </row>
    <row r="77" s="1" customFormat="true" ht="15.75" hidden="false" customHeight="true" outlineLevel="0" collapsed="false">
      <c r="A77" s="1" t="s">
        <v>127</v>
      </c>
      <c r="B77" s="1" t="s">
        <v>27</v>
      </c>
      <c r="C77" s="5" t="s">
        <v>408</v>
      </c>
      <c r="D77" s="1" t="s">
        <v>409</v>
      </c>
      <c r="E77" s="1" t="n">
        <v>1460</v>
      </c>
      <c r="J77" s="6" t="s">
        <v>30</v>
      </c>
      <c r="K77" s="9" t="s">
        <v>365</v>
      </c>
      <c r="L77" s="3" t="s">
        <v>141</v>
      </c>
      <c r="M77" s="3" t="s">
        <v>142</v>
      </c>
      <c r="N77" s="3" t="s">
        <v>143</v>
      </c>
      <c r="O77" s="3"/>
      <c r="P77" s="3" t="s">
        <v>144</v>
      </c>
      <c r="Q77" s="3" t="s">
        <v>145</v>
      </c>
      <c r="R77" s="3" t="s">
        <v>146</v>
      </c>
      <c r="S77" s="3" t="s">
        <v>147</v>
      </c>
      <c r="T77" s="3" t="s">
        <v>148</v>
      </c>
      <c r="U77" s="3" t="s">
        <v>360</v>
      </c>
      <c r="V77" s="3" t="s">
        <v>254</v>
      </c>
      <c r="W77" s="3" t="n">
        <v>15</v>
      </c>
      <c r="X77" s="3" t="n">
        <f aca="false">IF(ISNUMBER(W77),W77*3.412142,"")</f>
        <v>51.18213</v>
      </c>
      <c r="Y77" s="3" t="s">
        <v>361</v>
      </c>
      <c r="Z77" s="4" t="s">
        <v>410</v>
      </c>
      <c r="AB77" s="7"/>
      <c r="AC77" s="7"/>
      <c r="AD77" s="7"/>
      <c r="AE77" s="7"/>
    </row>
    <row r="78" s="1" customFormat="true" ht="15.75" hidden="false" customHeight="true" outlineLevel="0" collapsed="false">
      <c r="A78" s="1" t="s">
        <v>127</v>
      </c>
      <c r="B78" s="1" t="s">
        <v>27</v>
      </c>
      <c r="C78" s="5" t="s">
        <v>411</v>
      </c>
      <c r="D78" s="1" t="s">
        <v>412</v>
      </c>
      <c r="E78" s="1" t="n">
        <v>690</v>
      </c>
      <c r="J78" s="6" t="s">
        <v>30</v>
      </c>
      <c r="K78" s="9" t="s">
        <v>413</v>
      </c>
      <c r="L78" s="3" t="s">
        <v>141</v>
      </c>
      <c r="M78" s="3" t="s">
        <v>142</v>
      </c>
      <c r="N78" s="3" t="s">
        <v>143</v>
      </c>
      <c r="O78" s="3"/>
      <c r="P78" s="3" t="s">
        <v>144</v>
      </c>
      <c r="Q78" s="3" t="s">
        <v>145</v>
      </c>
      <c r="R78" s="3" t="s">
        <v>146</v>
      </c>
      <c r="S78" s="3" t="s">
        <v>147</v>
      </c>
      <c r="T78" s="3" t="s">
        <v>148</v>
      </c>
      <c r="U78" s="3" t="s">
        <v>124</v>
      </c>
      <c r="V78" s="3" t="s">
        <v>125</v>
      </c>
      <c r="W78" s="3" t="n">
        <v>12</v>
      </c>
      <c r="X78" s="3" t="n">
        <f aca="false">IF(ISNUMBER(W78),W78*3.412142,"")</f>
        <v>40.945704</v>
      </c>
      <c r="Y78" s="3" t="s">
        <v>131</v>
      </c>
      <c r="Z78" s="4"/>
      <c r="AB78" s="7"/>
      <c r="AC78" s="7"/>
      <c r="AD78" s="7"/>
      <c r="AE78" s="7"/>
    </row>
    <row r="79" s="1" customFormat="true" ht="15.75" hidden="false" customHeight="true" outlineLevel="0" collapsed="false">
      <c r="A79" s="1" t="s">
        <v>127</v>
      </c>
      <c r="B79" s="1" t="s">
        <v>27</v>
      </c>
      <c r="C79" s="5" t="s">
        <v>414</v>
      </c>
      <c r="D79" s="1" t="s">
        <v>415</v>
      </c>
      <c r="E79" s="1" t="n">
        <v>810</v>
      </c>
      <c r="J79" s="6" t="s">
        <v>30</v>
      </c>
      <c r="K79" s="9" t="s">
        <v>413</v>
      </c>
      <c r="L79" s="3" t="s">
        <v>141</v>
      </c>
      <c r="M79" s="3" t="s">
        <v>142</v>
      </c>
      <c r="N79" s="3" t="s">
        <v>143</v>
      </c>
      <c r="O79" s="3"/>
      <c r="P79" s="3" t="s">
        <v>144</v>
      </c>
      <c r="Q79" s="3" t="s">
        <v>145</v>
      </c>
      <c r="R79" s="3" t="s">
        <v>146</v>
      </c>
      <c r="S79" s="3" t="s">
        <v>147</v>
      </c>
      <c r="T79" s="3" t="s">
        <v>148</v>
      </c>
      <c r="U79" s="3" t="s">
        <v>124</v>
      </c>
      <c r="V79" s="3" t="s">
        <v>125</v>
      </c>
      <c r="W79" s="3" t="n">
        <v>12</v>
      </c>
      <c r="X79" s="3" t="n">
        <f aca="false">IF(ISNUMBER(W79),W79*3.412142,"")</f>
        <v>40.945704</v>
      </c>
      <c r="Y79" s="3" t="s">
        <v>131</v>
      </c>
      <c r="Z79" s="4"/>
      <c r="AB79" s="7"/>
      <c r="AC79" s="7"/>
      <c r="AD79" s="7"/>
      <c r="AE79" s="7"/>
    </row>
    <row r="80" s="1" customFormat="true" ht="15.75" hidden="false" customHeight="true" outlineLevel="0" collapsed="false">
      <c r="A80" s="1" t="s">
        <v>133</v>
      </c>
      <c r="B80" s="1" t="s">
        <v>27</v>
      </c>
      <c r="C80" s="5" t="s">
        <v>416</v>
      </c>
      <c r="D80" s="1" t="s">
        <v>417</v>
      </c>
      <c r="E80" s="1" t="n">
        <v>600</v>
      </c>
      <c r="J80" s="6" t="s">
        <v>30</v>
      </c>
      <c r="K80" s="9" t="s">
        <v>418</v>
      </c>
      <c r="L80" s="3" t="s">
        <v>46</v>
      </c>
      <c r="M80" s="3" t="s">
        <v>122</v>
      </c>
      <c r="N80" s="3" t="s">
        <v>48</v>
      </c>
      <c r="O80" s="3"/>
      <c r="P80" s="3" t="s">
        <v>123</v>
      </c>
      <c r="Q80" s="3" t="s">
        <v>36</v>
      </c>
      <c r="R80" s="3" t="s">
        <v>37</v>
      </c>
      <c r="S80" s="3" t="s">
        <v>38</v>
      </c>
      <c r="T80" s="3" t="s">
        <v>39</v>
      </c>
      <c r="U80" s="3" t="s">
        <v>124</v>
      </c>
      <c r="V80" s="3" t="s">
        <v>125</v>
      </c>
      <c r="W80" s="3" t="n">
        <v>12</v>
      </c>
      <c r="X80" s="3" t="n">
        <f aca="false">IF(ISNUMBER(W80),W80*3.412142,"")</f>
        <v>40.945704</v>
      </c>
      <c r="Y80" s="3" t="s">
        <v>131</v>
      </c>
      <c r="Z80" s="4"/>
      <c r="AB80" s="7"/>
      <c r="AC80" s="7"/>
      <c r="AD80" s="7"/>
      <c r="AE80" s="7"/>
    </row>
    <row r="81" s="1" customFormat="true" ht="15.75" hidden="false" customHeight="true" outlineLevel="0" collapsed="false">
      <c r="A81" s="1" t="s">
        <v>133</v>
      </c>
      <c r="B81" s="1" t="s">
        <v>27</v>
      </c>
      <c r="C81" s="5" t="s">
        <v>419</v>
      </c>
      <c r="D81" s="1" t="s">
        <v>420</v>
      </c>
      <c r="E81" s="1" t="n">
        <v>870</v>
      </c>
      <c r="J81" s="6" t="s">
        <v>30</v>
      </c>
      <c r="K81" s="9" t="s">
        <v>418</v>
      </c>
      <c r="L81" s="3" t="s">
        <v>141</v>
      </c>
      <c r="M81" s="3" t="s">
        <v>142</v>
      </c>
      <c r="N81" s="3" t="s">
        <v>143</v>
      </c>
      <c r="O81" s="3"/>
      <c r="P81" s="3" t="s">
        <v>144</v>
      </c>
      <c r="Q81" s="3" t="s">
        <v>145</v>
      </c>
      <c r="R81" s="3" t="s">
        <v>146</v>
      </c>
      <c r="S81" s="3" t="s">
        <v>147</v>
      </c>
      <c r="T81" s="3" t="s">
        <v>148</v>
      </c>
      <c r="U81" s="3" t="s">
        <v>360</v>
      </c>
      <c r="V81" s="3" t="s">
        <v>254</v>
      </c>
      <c r="W81" s="3" t="n">
        <v>15</v>
      </c>
      <c r="X81" s="3" t="n">
        <f aca="false">IF(ISNUMBER(W81),W81*3.412142,"")</f>
        <v>51.18213</v>
      </c>
      <c r="Y81" s="3" t="s">
        <v>361</v>
      </c>
      <c r="Z81" s="4" t="s">
        <v>421</v>
      </c>
      <c r="AB81" s="7"/>
      <c r="AC81" s="7"/>
      <c r="AD81" s="7"/>
      <c r="AE81" s="7"/>
    </row>
    <row r="82" s="1" customFormat="true" ht="15.75" hidden="false" customHeight="true" outlineLevel="0" collapsed="false">
      <c r="A82" s="1" t="s">
        <v>133</v>
      </c>
      <c r="B82" s="1" t="s">
        <v>27</v>
      </c>
      <c r="C82" s="5" t="s">
        <v>422</v>
      </c>
      <c r="D82" s="1" t="s">
        <v>423</v>
      </c>
      <c r="E82" s="1" t="n">
        <v>690</v>
      </c>
      <c r="J82" s="6" t="s">
        <v>30</v>
      </c>
      <c r="K82" s="9" t="s">
        <v>424</v>
      </c>
      <c r="L82" s="3" t="s">
        <v>141</v>
      </c>
      <c r="M82" s="3" t="s">
        <v>142</v>
      </c>
      <c r="N82" s="3" t="s">
        <v>143</v>
      </c>
      <c r="O82" s="3"/>
      <c r="P82" s="3" t="s">
        <v>144</v>
      </c>
      <c r="Q82" s="3" t="s">
        <v>145</v>
      </c>
      <c r="R82" s="3" t="s">
        <v>146</v>
      </c>
      <c r="S82" s="3" t="s">
        <v>147</v>
      </c>
      <c r="T82" s="3" t="s">
        <v>148</v>
      </c>
      <c r="U82" s="3" t="s">
        <v>124</v>
      </c>
      <c r="V82" s="3" t="s">
        <v>125</v>
      </c>
      <c r="W82" s="3" t="n">
        <v>12</v>
      </c>
      <c r="X82" s="3" t="n">
        <f aca="false">IF(ISNUMBER(W82),W82*3.412142,"")</f>
        <v>40.945704</v>
      </c>
      <c r="Y82" s="3" t="s">
        <v>131</v>
      </c>
      <c r="Z82" s="4"/>
      <c r="AB82" s="7"/>
      <c r="AC82" s="7"/>
      <c r="AD82" s="7"/>
      <c r="AE82" s="7"/>
    </row>
    <row r="83" s="1" customFormat="true" ht="15.75" hidden="false" customHeight="true" outlineLevel="0" collapsed="false">
      <c r="A83" s="1" t="s">
        <v>133</v>
      </c>
      <c r="B83" s="1" t="s">
        <v>27</v>
      </c>
      <c r="C83" s="5" t="s">
        <v>425</v>
      </c>
      <c r="D83" s="1" t="s">
        <v>426</v>
      </c>
      <c r="E83" s="1" t="n">
        <v>690</v>
      </c>
      <c r="J83" s="6" t="s">
        <v>30</v>
      </c>
      <c r="K83" s="9" t="s">
        <v>418</v>
      </c>
      <c r="L83" s="3" t="s">
        <v>46</v>
      </c>
      <c r="M83" s="3" t="s">
        <v>122</v>
      </c>
      <c r="N83" s="3" t="s">
        <v>48</v>
      </c>
      <c r="O83" s="3"/>
      <c r="P83" s="3" t="s">
        <v>123</v>
      </c>
      <c r="Q83" s="3" t="s">
        <v>36</v>
      </c>
      <c r="R83" s="3" t="s">
        <v>37</v>
      </c>
      <c r="S83" s="3" t="s">
        <v>38</v>
      </c>
      <c r="T83" s="3" t="s">
        <v>39</v>
      </c>
      <c r="U83" s="3" t="s">
        <v>124</v>
      </c>
      <c r="V83" s="3" t="s">
        <v>125</v>
      </c>
      <c r="W83" s="3" t="n">
        <v>12</v>
      </c>
      <c r="X83" s="3" t="n">
        <f aca="false">IF(ISNUMBER(W83),W83*3.412142,"")</f>
        <v>40.945704</v>
      </c>
      <c r="Y83" s="3" t="s">
        <v>131</v>
      </c>
      <c r="Z83" s="4"/>
      <c r="AB83" s="7"/>
      <c r="AC83" s="7"/>
      <c r="AD83" s="7"/>
      <c r="AE83" s="7"/>
    </row>
    <row r="84" s="1" customFormat="true" ht="15.75" hidden="false" customHeight="true" outlineLevel="0" collapsed="false">
      <c r="A84" s="1" t="s">
        <v>133</v>
      </c>
      <c r="B84" s="1" t="s">
        <v>27</v>
      </c>
      <c r="C84" s="5" t="s">
        <v>427</v>
      </c>
      <c r="D84" s="1" t="s">
        <v>428</v>
      </c>
      <c r="E84" s="1" t="n">
        <v>980</v>
      </c>
      <c r="J84" s="6" t="s">
        <v>30</v>
      </c>
      <c r="K84" s="9" t="s">
        <v>418</v>
      </c>
      <c r="L84" s="3" t="s">
        <v>141</v>
      </c>
      <c r="M84" s="3" t="s">
        <v>142</v>
      </c>
      <c r="N84" s="3" t="s">
        <v>143</v>
      </c>
      <c r="O84" s="3"/>
      <c r="P84" s="3" t="s">
        <v>144</v>
      </c>
      <c r="Q84" s="3" t="s">
        <v>145</v>
      </c>
      <c r="R84" s="3" t="s">
        <v>146</v>
      </c>
      <c r="S84" s="3" t="s">
        <v>147</v>
      </c>
      <c r="T84" s="3" t="s">
        <v>148</v>
      </c>
      <c r="U84" s="3" t="s">
        <v>360</v>
      </c>
      <c r="V84" s="3" t="s">
        <v>254</v>
      </c>
      <c r="W84" s="3" t="n">
        <v>15</v>
      </c>
      <c r="X84" s="3" t="n">
        <f aca="false">IF(ISNUMBER(W84),W84*3.412142,"")</f>
        <v>51.18213</v>
      </c>
      <c r="Y84" s="3" t="s">
        <v>361</v>
      </c>
      <c r="Z84" s="4" t="s">
        <v>429</v>
      </c>
      <c r="AB84" s="7"/>
      <c r="AC84" s="7"/>
      <c r="AD84" s="7"/>
      <c r="AE84" s="7"/>
    </row>
    <row r="85" s="1" customFormat="true" ht="15.75" hidden="false" customHeight="true" outlineLevel="0" collapsed="false">
      <c r="A85" s="1" t="s">
        <v>133</v>
      </c>
      <c r="B85" s="1" t="s">
        <v>27</v>
      </c>
      <c r="C85" s="5" t="s">
        <v>430</v>
      </c>
      <c r="D85" s="1" t="s">
        <v>431</v>
      </c>
      <c r="E85" s="1" t="n">
        <v>810</v>
      </c>
      <c r="J85" s="6" t="s">
        <v>30</v>
      </c>
      <c r="K85" s="9" t="s">
        <v>424</v>
      </c>
      <c r="L85" s="3" t="s">
        <v>141</v>
      </c>
      <c r="M85" s="3" t="s">
        <v>142</v>
      </c>
      <c r="N85" s="3" t="s">
        <v>143</v>
      </c>
      <c r="O85" s="3"/>
      <c r="P85" s="3" t="s">
        <v>144</v>
      </c>
      <c r="Q85" s="3" t="s">
        <v>145</v>
      </c>
      <c r="R85" s="3" t="s">
        <v>146</v>
      </c>
      <c r="S85" s="3" t="s">
        <v>147</v>
      </c>
      <c r="T85" s="3" t="s">
        <v>148</v>
      </c>
      <c r="U85" s="3" t="s">
        <v>124</v>
      </c>
      <c r="V85" s="3" t="s">
        <v>125</v>
      </c>
      <c r="W85" s="3" t="n">
        <v>12</v>
      </c>
      <c r="X85" s="3" t="n">
        <f aca="false">IF(ISNUMBER(W85),W85*3.412142,"")</f>
        <v>40.945704</v>
      </c>
      <c r="Y85" s="3" t="s">
        <v>131</v>
      </c>
      <c r="Z85" s="4"/>
      <c r="AB85" s="7"/>
      <c r="AC85" s="7"/>
      <c r="AD85" s="7"/>
      <c r="AE85" s="7"/>
    </row>
    <row r="86" s="1" customFormat="true" ht="15.75" hidden="false" customHeight="true" outlineLevel="0" collapsed="false">
      <c r="A86" s="1" t="s">
        <v>50</v>
      </c>
      <c r="B86" s="1" t="s">
        <v>27</v>
      </c>
      <c r="C86" s="5" t="s">
        <v>432</v>
      </c>
      <c r="D86" s="1" t="s">
        <v>433</v>
      </c>
      <c r="E86" s="1" t="n">
        <v>2500</v>
      </c>
      <c r="J86" s="6" t="s">
        <v>30</v>
      </c>
      <c r="K86" s="9" t="s">
        <v>434</v>
      </c>
      <c r="L86" s="3" t="s">
        <v>54</v>
      </c>
      <c r="M86" s="3" t="s">
        <v>55</v>
      </c>
      <c r="N86" s="3" t="s">
        <v>34</v>
      </c>
      <c r="O86" s="3"/>
      <c r="P86" s="3" t="s">
        <v>261</v>
      </c>
      <c r="Q86" s="3" t="s">
        <v>36</v>
      </c>
      <c r="R86" s="3" t="s">
        <v>37</v>
      </c>
      <c r="S86" s="3" t="s">
        <v>38</v>
      </c>
      <c r="T86" s="3" t="s">
        <v>39</v>
      </c>
      <c r="U86" s="3" t="s">
        <v>40</v>
      </c>
      <c r="V86" s="3" t="s">
        <v>41</v>
      </c>
      <c r="W86" s="3" t="n">
        <v>100</v>
      </c>
      <c r="X86" s="3" t="n">
        <f aca="false">IF(ISNUMBER(W86),W86*3.412142,"")</f>
        <v>341.2142</v>
      </c>
      <c r="Y86" s="3" t="s">
        <v>42</v>
      </c>
      <c r="Z86" s="4" t="s">
        <v>435</v>
      </c>
      <c r="AB86" s="7"/>
      <c r="AC86" s="7"/>
      <c r="AD86" s="7"/>
      <c r="AE86" s="7"/>
    </row>
    <row r="87" s="1" customFormat="true" ht="15.75" hidden="false" customHeight="true" outlineLevel="0" collapsed="false">
      <c r="A87" s="1" t="s">
        <v>50</v>
      </c>
      <c r="B87" s="1" t="s">
        <v>27</v>
      </c>
      <c r="C87" s="5" t="s">
        <v>436</v>
      </c>
      <c r="D87" s="1" t="s">
        <v>437</v>
      </c>
      <c r="E87" s="1" t="n">
        <v>5820</v>
      </c>
      <c r="J87" s="6" t="s">
        <v>30</v>
      </c>
      <c r="K87" s="9" t="s">
        <v>438</v>
      </c>
      <c r="L87" s="3" t="s">
        <v>54</v>
      </c>
      <c r="M87" s="3" t="s">
        <v>55</v>
      </c>
      <c r="N87" s="3" t="s">
        <v>115</v>
      </c>
      <c r="O87" s="3"/>
      <c r="P87" s="3" t="s">
        <v>116</v>
      </c>
      <c r="Q87" s="3" t="s">
        <v>36</v>
      </c>
      <c r="R87" s="3" t="s">
        <v>37</v>
      </c>
      <c r="S87" s="3" t="s">
        <v>38</v>
      </c>
      <c r="T87" s="3" t="s">
        <v>39</v>
      </c>
      <c r="U87" s="3" t="s">
        <v>40</v>
      </c>
      <c r="V87" s="3" t="s">
        <v>69</v>
      </c>
      <c r="W87" s="3" t="n">
        <v>250</v>
      </c>
      <c r="X87" s="3" t="n">
        <f aca="false">IF(ISNUMBER(W87),W87*3.412142,"")</f>
        <v>853.0355</v>
      </c>
      <c r="Y87" s="3" t="s">
        <v>42</v>
      </c>
      <c r="Z87" s="4"/>
      <c r="AE87" s="7"/>
    </row>
    <row r="88" s="1" customFormat="true" ht="15.75" hidden="false" customHeight="true" outlineLevel="0" collapsed="false">
      <c r="A88" s="1" t="s">
        <v>50</v>
      </c>
      <c r="B88" s="1" t="s">
        <v>27</v>
      </c>
      <c r="C88" s="5" t="s">
        <v>439</v>
      </c>
      <c r="D88" s="1" t="s">
        <v>440</v>
      </c>
      <c r="E88" s="1" t="n">
        <v>4320</v>
      </c>
      <c r="J88" s="6" t="s">
        <v>30</v>
      </c>
      <c r="K88" s="9" t="s">
        <v>441</v>
      </c>
      <c r="L88" s="3" t="s">
        <v>54</v>
      </c>
      <c r="M88" s="3" t="s">
        <v>62</v>
      </c>
      <c r="N88" s="3" t="s">
        <v>110</v>
      </c>
      <c r="O88" s="3"/>
      <c r="P88" s="3" t="s">
        <v>111</v>
      </c>
      <c r="Q88" s="3" t="s">
        <v>65</v>
      </c>
      <c r="R88" s="3" t="s">
        <v>66</v>
      </c>
      <c r="S88" s="3" t="s">
        <v>67</v>
      </c>
      <c r="T88" s="3" t="s">
        <v>39</v>
      </c>
      <c r="U88" s="3" t="s">
        <v>40</v>
      </c>
      <c r="V88" s="3" t="s">
        <v>69</v>
      </c>
      <c r="W88" s="3" t="n">
        <v>250</v>
      </c>
      <c r="X88" s="3" t="n">
        <f aca="false">IF(ISNUMBER(W88),W88*3.412142,"")</f>
        <v>853.0355</v>
      </c>
      <c r="Y88" s="3" t="s">
        <v>42</v>
      </c>
      <c r="Z88" s="4"/>
      <c r="AE88" s="7"/>
    </row>
    <row r="89" s="1" customFormat="true" ht="15.75" hidden="false" customHeight="true" outlineLevel="0" collapsed="false">
      <c r="A89" s="1" t="s">
        <v>442</v>
      </c>
      <c r="B89" s="1" t="s">
        <v>27</v>
      </c>
      <c r="C89" s="5" t="s">
        <v>443</v>
      </c>
      <c r="D89" s="1" t="s">
        <v>444</v>
      </c>
      <c r="E89" s="1" t="n">
        <v>11540</v>
      </c>
      <c r="J89" s="6" t="s">
        <v>30</v>
      </c>
      <c r="K89" s="9" t="s">
        <v>445</v>
      </c>
      <c r="L89" s="3" t="s">
        <v>54</v>
      </c>
      <c r="M89" s="3" t="s">
        <v>62</v>
      </c>
      <c r="N89" s="3" t="s">
        <v>446</v>
      </c>
      <c r="O89" s="3"/>
      <c r="P89" s="3" t="s">
        <v>111</v>
      </c>
      <c r="Q89" s="3" t="s">
        <v>65</v>
      </c>
      <c r="R89" s="3" t="s">
        <v>66</v>
      </c>
      <c r="S89" s="3" t="s">
        <v>67</v>
      </c>
      <c r="T89" s="3" t="s">
        <v>39</v>
      </c>
      <c r="U89" s="3" t="s">
        <v>40</v>
      </c>
      <c r="V89" s="3" t="s">
        <v>79</v>
      </c>
      <c r="W89" s="3" t="n">
        <v>400</v>
      </c>
      <c r="X89" s="3" t="n">
        <f aca="false">IF(ISNUMBER(W89),W89*3.412142,"")</f>
        <v>1364.8568</v>
      </c>
      <c r="Y89" s="3" t="s">
        <v>42</v>
      </c>
      <c r="Z89" s="4"/>
      <c r="AE89" s="7"/>
    </row>
    <row r="90" s="1" customFormat="true" ht="15.75" hidden="false" customHeight="true" outlineLevel="0" collapsed="false">
      <c r="A90" s="1" t="s">
        <v>50</v>
      </c>
      <c r="B90" s="1" t="s">
        <v>27</v>
      </c>
      <c r="C90" s="5" t="s">
        <v>447</v>
      </c>
      <c r="D90" s="1" t="s">
        <v>448</v>
      </c>
      <c r="E90" s="1" t="n">
        <v>9740</v>
      </c>
      <c r="J90" s="6" t="s">
        <v>30</v>
      </c>
      <c r="K90" s="9" t="s">
        <v>449</v>
      </c>
      <c r="L90" s="3" t="s">
        <v>61</v>
      </c>
      <c r="M90" s="3" t="s">
        <v>62</v>
      </c>
      <c r="N90" s="3" t="s">
        <v>63</v>
      </c>
      <c r="O90" s="3"/>
      <c r="P90" s="3" t="s">
        <v>64</v>
      </c>
      <c r="Q90" s="3" t="s">
        <v>65</v>
      </c>
      <c r="R90" s="3" t="s">
        <v>66</v>
      </c>
      <c r="S90" s="3" t="s">
        <v>67</v>
      </c>
      <c r="T90" s="3" t="s">
        <v>68</v>
      </c>
      <c r="U90" s="3" t="s">
        <v>40</v>
      </c>
      <c r="V90" s="3" t="s">
        <v>69</v>
      </c>
      <c r="W90" s="3" t="n">
        <v>250</v>
      </c>
      <c r="X90" s="3" t="n">
        <f aca="false">IF(ISNUMBER(W90),W90*3.412142,"")</f>
        <v>853.0355</v>
      </c>
      <c r="Y90" s="3" t="s">
        <v>42</v>
      </c>
      <c r="Z90" s="4"/>
      <c r="AE90" s="7"/>
    </row>
    <row r="91" s="1" customFormat="true" ht="15.75" hidden="false" customHeight="true" outlineLevel="0" collapsed="false">
      <c r="A91" s="1" t="s">
        <v>50</v>
      </c>
      <c r="B91" s="1" t="s">
        <v>27</v>
      </c>
      <c r="C91" s="5" t="s">
        <v>450</v>
      </c>
      <c r="D91" s="1" t="s">
        <v>451</v>
      </c>
      <c r="E91" s="1" t="n">
        <v>17020</v>
      </c>
      <c r="J91" s="6" t="s">
        <v>30</v>
      </c>
      <c r="K91" s="9" t="s">
        <v>452</v>
      </c>
      <c r="L91" s="3" t="s">
        <v>61</v>
      </c>
      <c r="M91" s="3" t="s">
        <v>62</v>
      </c>
      <c r="N91" s="3" t="s">
        <v>63</v>
      </c>
      <c r="O91" s="3"/>
      <c r="P91" s="3" t="s">
        <v>64</v>
      </c>
      <c r="Q91" s="3" t="s">
        <v>65</v>
      </c>
      <c r="R91" s="3" t="s">
        <v>66</v>
      </c>
      <c r="S91" s="3" t="s">
        <v>67</v>
      </c>
      <c r="T91" s="3" t="s">
        <v>68</v>
      </c>
      <c r="U91" s="3" t="s">
        <v>40</v>
      </c>
      <c r="V91" s="3" t="s">
        <v>69</v>
      </c>
      <c r="W91" s="3" t="n">
        <v>250</v>
      </c>
      <c r="X91" s="3" t="n">
        <f aca="false">IF(ISNUMBER(W91),W91*3.412142,"")</f>
        <v>853.0355</v>
      </c>
      <c r="Y91" s="3" t="s">
        <v>42</v>
      </c>
      <c r="Z91" s="4"/>
      <c r="AE91" s="7"/>
    </row>
    <row r="92" s="1" customFormat="true" ht="15.75" hidden="false" customHeight="true" outlineLevel="0" collapsed="false">
      <c r="A92" s="1" t="s">
        <v>50</v>
      </c>
      <c r="B92" s="1" t="s">
        <v>27</v>
      </c>
      <c r="C92" s="5" t="s">
        <v>453</v>
      </c>
      <c r="D92" s="1" t="s">
        <v>454</v>
      </c>
      <c r="E92" s="1" t="n">
        <v>2390</v>
      </c>
      <c r="J92" s="6" t="s">
        <v>30</v>
      </c>
      <c r="K92" s="9" t="s">
        <v>455</v>
      </c>
      <c r="L92" s="3" t="s">
        <v>54</v>
      </c>
      <c r="M92" s="3" t="s">
        <v>62</v>
      </c>
      <c r="N92" s="3" t="s">
        <v>110</v>
      </c>
      <c r="O92" s="3"/>
      <c r="P92" s="3" t="s">
        <v>111</v>
      </c>
      <c r="Q92" s="3" t="s">
        <v>65</v>
      </c>
      <c r="R92" s="3" t="s">
        <v>66</v>
      </c>
      <c r="S92" s="3" t="s">
        <v>67</v>
      </c>
      <c r="T92" s="3" t="s">
        <v>39</v>
      </c>
      <c r="U92" s="3" t="s">
        <v>40</v>
      </c>
      <c r="V92" s="3" t="s">
        <v>41</v>
      </c>
      <c r="W92" s="3" t="n">
        <v>100</v>
      </c>
      <c r="X92" s="3" t="n">
        <f aca="false">IF(ISNUMBER(W92),W92*3.412142,"")</f>
        <v>341.2142</v>
      </c>
      <c r="Y92" s="3" t="s">
        <v>42</v>
      </c>
      <c r="Z92" s="4"/>
      <c r="AC92" s="7"/>
      <c r="AD92" s="7"/>
      <c r="AE92" s="7"/>
    </row>
    <row r="93" s="1" customFormat="true" ht="15.75" hidden="false" customHeight="true" outlineLevel="0" collapsed="false">
      <c r="A93" s="1" t="s">
        <v>50</v>
      </c>
      <c r="B93" s="1" t="s">
        <v>27</v>
      </c>
      <c r="C93" s="5" t="s">
        <v>456</v>
      </c>
      <c r="D93" s="1" t="s">
        <v>457</v>
      </c>
      <c r="E93" s="1" t="n">
        <v>4990</v>
      </c>
      <c r="J93" s="6" t="s">
        <v>30</v>
      </c>
      <c r="K93" s="9" t="s">
        <v>458</v>
      </c>
      <c r="L93" s="3" t="s">
        <v>54</v>
      </c>
      <c r="M93" s="3" t="s">
        <v>62</v>
      </c>
      <c r="N93" s="3" t="s">
        <v>110</v>
      </c>
      <c r="O93" s="3"/>
      <c r="P93" s="3" t="s">
        <v>111</v>
      </c>
      <c r="Q93" s="3" t="s">
        <v>65</v>
      </c>
      <c r="R93" s="3" t="s">
        <v>66</v>
      </c>
      <c r="S93" s="3" t="s">
        <v>67</v>
      </c>
      <c r="T93" s="3" t="s">
        <v>39</v>
      </c>
      <c r="U93" s="3" t="s">
        <v>40</v>
      </c>
      <c r="V93" s="3" t="s">
        <v>41</v>
      </c>
      <c r="W93" s="3" t="n">
        <v>100</v>
      </c>
      <c r="X93" s="3" t="n">
        <f aca="false">IF(ISNUMBER(W93),W93*3.412142,"")</f>
        <v>341.2142</v>
      </c>
      <c r="Y93" s="3" t="s">
        <v>42</v>
      </c>
      <c r="Z93" s="4" t="s">
        <v>459</v>
      </c>
      <c r="AC93" s="7"/>
      <c r="AD93" s="7"/>
      <c r="AE93" s="7"/>
    </row>
    <row r="94" s="1" customFormat="true" ht="15.75" hidden="false" customHeight="true" outlineLevel="0" collapsed="false">
      <c r="A94" s="1" t="s">
        <v>50</v>
      </c>
      <c r="B94" s="1" t="s">
        <v>27</v>
      </c>
      <c r="C94" s="5" t="s">
        <v>460</v>
      </c>
      <c r="D94" s="1" t="s">
        <v>461</v>
      </c>
      <c r="E94" s="1" t="n">
        <v>7420</v>
      </c>
      <c r="J94" s="6" t="s">
        <v>30</v>
      </c>
      <c r="K94" s="9" t="s">
        <v>462</v>
      </c>
      <c r="L94" s="3" t="s">
        <v>54</v>
      </c>
      <c r="M94" s="3" t="s">
        <v>62</v>
      </c>
      <c r="N94" s="3" t="s">
        <v>110</v>
      </c>
      <c r="O94" s="3"/>
      <c r="P94" s="3" t="s">
        <v>111</v>
      </c>
      <c r="Q94" s="3" t="s">
        <v>65</v>
      </c>
      <c r="R94" s="3" t="s">
        <v>66</v>
      </c>
      <c r="S94" s="3" t="s">
        <v>67</v>
      </c>
      <c r="T94" s="3" t="s">
        <v>39</v>
      </c>
      <c r="U94" s="3" t="s">
        <v>40</v>
      </c>
      <c r="V94" s="3" t="s">
        <v>41</v>
      </c>
      <c r="W94" s="3" t="n">
        <v>100</v>
      </c>
      <c r="X94" s="3" t="n">
        <f aca="false">IF(ISNUMBER(W94),W94*3.412142,"")</f>
        <v>341.2142</v>
      </c>
      <c r="Y94" s="3" t="s">
        <v>42</v>
      </c>
      <c r="Z94" s="4" t="s">
        <v>463</v>
      </c>
      <c r="AC94" s="7"/>
      <c r="AD94" s="7"/>
      <c r="AE94" s="7"/>
    </row>
    <row r="95" s="1" customFormat="true" ht="15.75" hidden="false" customHeight="true" outlineLevel="0" collapsed="false">
      <c r="A95" s="1" t="s">
        <v>165</v>
      </c>
      <c r="B95" s="1" t="s">
        <v>27</v>
      </c>
      <c r="C95" s="5" t="s">
        <v>464</v>
      </c>
      <c r="D95" s="1" t="s">
        <v>465</v>
      </c>
      <c r="E95" s="1" t="n">
        <v>2910</v>
      </c>
      <c r="J95" s="6" t="s">
        <v>30</v>
      </c>
      <c r="K95" s="9" t="s">
        <v>466</v>
      </c>
      <c r="L95" s="3" t="s">
        <v>46</v>
      </c>
      <c r="M95" s="3" t="s">
        <v>122</v>
      </c>
      <c r="N95" s="3" t="s">
        <v>48</v>
      </c>
      <c r="O95" s="3"/>
      <c r="P95" s="3" t="s">
        <v>123</v>
      </c>
      <c r="Q95" s="3" t="s">
        <v>36</v>
      </c>
      <c r="R95" s="3" t="s">
        <v>37</v>
      </c>
      <c r="S95" s="3" t="s">
        <v>38</v>
      </c>
      <c r="T95" s="3" t="s">
        <v>39</v>
      </c>
      <c r="U95" s="3" t="s">
        <v>169</v>
      </c>
      <c r="V95" s="3" t="s">
        <v>170</v>
      </c>
      <c r="W95" s="3" t="n">
        <v>25.5</v>
      </c>
      <c r="X95" s="3" t="n">
        <f aca="false">IF(ISNUMBER(W95),W95*3.412142,"")</f>
        <v>87.009621</v>
      </c>
      <c r="Y95" s="3" t="s">
        <v>171</v>
      </c>
      <c r="Z95" s="4"/>
      <c r="AC95" s="7"/>
      <c r="AD95" s="7"/>
      <c r="AE95" s="7"/>
    </row>
    <row r="96" s="1" customFormat="true" ht="15.75" hidden="false" customHeight="true" outlineLevel="0" collapsed="false">
      <c r="A96" s="1" t="s">
        <v>165</v>
      </c>
      <c r="B96" s="1" t="s">
        <v>27</v>
      </c>
      <c r="C96" s="5" t="s">
        <v>467</v>
      </c>
      <c r="D96" s="1" t="s">
        <v>468</v>
      </c>
      <c r="E96" s="1" t="n">
        <v>3150</v>
      </c>
      <c r="J96" s="6" t="s">
        <v>30</v>
      </c>
      <c r="K96" s="9" t="s">
        <v>469</v>
      </c>
      <c r="L96" s="3" t="s">
        <v>46</v>
      </c>
      <c r="M96" s="3" t="s">
        <v>122</v>
      </c>
      <c r="N96" s="3" t="s">
        <v>48</v>
      </c>
      <c r="O96" s="3"/>
      <c r="P96" s="3" t="s">
        <v>123</v>
      </c>
      <c r="Q96" s="3" t="s">
        <v>36</v>
      </c>
      <c r="R96" s="3" t="s">
        <v>37</v>
      </c>
      <c r="S96" s="3" t="s">
        <v>38</v>
      </c>
      <c r="T96" s="3" t="s">
        <v>39</v>
      </c>
      <c r="U96" s="3" t="s">
        <v>169</v>
      </c>
      <c r="V96" s="3" t="s">
        <v>170</v>
      </c>
      <c r="W96" s="3" t="n">
        <v>25.5</v>
      </c>
      <c r="X96" s="3" t="n">
        <f aca="false">IF(ISNUMBER(W96),W96*3.412142,"")</f>
        <v>87.009621</v>
      </c>
      <c r="Y96" s="3" t="s">
        <v>171</v>
      </c>
      <c r="Z96" s="4" t="s">
        <v>470</v>
      </c>
      <c r="AB96" s="7"/>
      <c r="AC96" s="7"/>
      <c r="AD96" s="7"/>
      <c r="AE96" s="7"/>
    </row>
    <row r="97" s="1" customFormat="true" ht="15.75" hidden="false" customHeight="true" outlineLevel="0" collapsed="false">
      <c r="A97" s="1" t="s">
        <v>165</v>
      </c>
      <c r="B97" s="1" t="s">
        <v>27</v>
      </c>
      <c r="C97" s="5" t="s">
        <v>471</v>
      </c>
      <c r="D97" s="1" t="s">
        <v>472</v>
      </c>
      <c r="E97" s="1" t="n">
        <v>3880</v>
      </c>
      <c r="J97" s="6" t="s">
        <v>30</v>
      </c>
      <c r="K97" s="9" t="s">
        <v>473</v>
      </c>
      <c r="L97" s="3" t="s">
        <v>141</v>
      </c>
      <c r="M97" s="3" t="s">
        <v>142</v>
      </c>
      <c r="N97" s="3" t="s">
        <v>143</v>
      </c>
      <c r="O97" s="3"/>
      <c r="P97" s="3" t="s">
        <v>144</v>
      </c>
      <c r="Q97" s="3" t="s">
        <v>145</v>
      </c>
      <c r="R97" s="3" t="s">
        <v>146</v>
      </c>
      <c r="S97" s="3" t="s">
        <v>147</v>
      </c>
      <c r="T97" s="3" t="s">
        <v>148</v>
      </c>
      <c r="U97" s="3" t="s">
        <v>169</v>
      </c>
      <c r="V97" s="3" t="s">
        <v>254</v>
      </c>
      <c r="W97" s="3" t="n">
        <v>15.4</v>
      </c>
      <c r="X97" s="3" t="n">
        <f aca="false">IF(ISNUMBER(W97),W97*3.412142,"")</f>
        <v>52.5469868</v>
      </c>
      <c r="Y97" s="3" t="s">
        <v>474</v>
      </c>
      <c r="Z97" s="4" t="s">
        <v>475</v>
      </c>
      <c r="AB97" s="7"/>
      <c r="AC97" s="7"/>
      <c r="AD97" s="7"/>
      <c r="AE97" s="7"/>
    </row>
    <row r="98" s="1" customFormat="true" ht="15.75" hidden="false" customHeight="true" outlineLevel="0" collapsed="false">
      <c r="A98" s="1" t="s">
        <v>165</v>
      </c>
      <c r="B98" s="1" t="s">
        <v>27</v>
      </c>
      <c r="C98" s="5" t="s">
        <v>476</v>
      </c>
      <c r="D98" s="1" t="s">
        <v>477</v>
      </c>
      <c r="E98" s="1" t="n">
        <v>4120</v>
      </c>
      <c r="J98" s="6" t="s">
        <v>30</v>
      </c>
      <c r="K98" s="9" t="s">
        <v>478</v>
      </c>
      <c r="L98" s="3" t="s">
        <v>141</v>
      </c>
      <c r="M98" s="3" t="s">
        <v>142</v>
      </c>
      <c r="N98" s="3" t="s">
        <v>143</v>
      </c>
      <c r="O98" s="3"/>
      <c r="P98" s="3" t="s">
        <v>144</v>
      </c>
      <c r="Q98" s="3" t="s">
        <v>145</v>
      </c>
      <c r="R98" s="3" t="s">
        <v>146</v>
      </c>
      <c r="S98" s="3" t="s">
        <v>147</v>
      </c>
      <c r="T98" s="3" t="s">
        <v>148</v>
      </c>
      <c r="U98" s="3" t="s">
        <v>169</v>
      </c>
      <c r="V98" s="3" t="s">
        <v>254</v>
      </c>
      <c r="W98" s="3" t="n">
        <v>15.4</v>
      </c>
      <c r="X98" s="3" t="n">
        <f aca="false">IF(ISNUMBER(W98),W98*3.412142,"")</f>
        <v>52.5469868</v>
      </c>
      <c r="Y98" s="3" t="s">
        <v>474</v>
      </c>
      <c r="Z98" s="4" t="s">
        <v>479</v>
      </c>
      <c r="AB98" s="7"/>
      <c r="AC98" s="7"/>
      <c r="AD98" s="7"/>
      <c r="AE98" s="7"/>
    </row>
    <row r="99" s="1" customFormat="true" ht="15.75" hidden="false" customHeight="true" outlineLevel="0" collapsed="false">
      <c r="A99" s="1" t="s">
        <v>165</v>
      </c>
      <c r="B99" s="1" t="s">
        <v>27</v>
      </c>
      <c r="C99" s="5" t="s">
        <v>480</v>
      </c>
      <c r="D99" s="1" t="s">
        <v>481</v>
      </c>
      <c r="E99" s="1" t="n">
        <v>3520</v>
      </c>
      <c r="J99" s="6" t="s">
        <v>30</v>
      </c>
      <c r="K99" s="9" t="s">
        <v>482</v>
      </c>
      <c r="L99" s="3" t="s">
        <v>46</v>
      </c>
      <c r="M99" s="3" t="s">
        <v>122</v>
      </c>
      <c r="N99" s="3" t="s">
        <v>48</v>
      </c>
      <c r="O99" s="3"/>
      <c r="P99" s="3" t="s">
        <v>123</v>
      </c>
      <c r="Q99" s="3" t="s">
        <v>36</v>
      </c>
      <c r="R99" s="3" t="s">
        <v>37</v>
      </c>
      <c r="S99" s="3" t="s">
        <v>38</v>
      </c>
      <c r="T99" s="3" t="s">
        <v>39</v>
      </c>
      <c r="U99" s="3" t="s">
        <v>169</v>
      </c>
      <c r="V99" s="3" t="s">
        <v>170</v>
      </c>
      <c r="W99" s="3" t="n">
        <v>25.5</v>
      </c>
      <c r="X99" s="3" t="n">
        <f aca="false">IF(ISNUMBER(W99),W99*3.412142,"")</f>
        <v>87.009621</v>
      </c>
      <c r="Y99" s="3" t="s">
        <v>171</v>
      </c>
      <c r="Z99" s="4" t="s">
        <v>483</v>
      </c>
      <c r="AB99" s="7"/>
      <c r="AC99" s="7"/>
      <c r="AD99" s="7"/>
      <c r="AE99" s="7"/>
    </row>
    <row r="100" s="1" customFormat="true" ht="15.75" hidden="false" customHeight="true" outlineLevel="0" collapsed="false">
      <c r="A100" s="1" t="s">
        <v>165</v>
      </c>
      <c r="B100" s="1" t="s">
        <v>27</v>
      </c>
      <c r="C100" s="5" t="s">
        <v>484</v>
      </c>
      <c r="D100" s="1" t="s">
        <v>485</v>
      </c>
      <c r="E100" s="1" t="n">
        <v>4490</v>
      </c>
      <c r="J100" s="6" t="s">
        <v>30</v>
      </c>
      <c r="K100" s="9" t="s">
        <v>486</v>
      </c>
      <c r="L100" s="3" t="s">
        <v>141</v>
      </c>
      <c r="M100" s="3" t="s">
        <v>142</v>
      </c>
      <c r="N100" s="3" t="s">
        <v>143</v>
      </c>
      <c r="O100" s="3"/>
      <c r="P100" s="3" t="s">
        <v>144</v>
      </c>
      <c r="Q100" s="3" t="s">
        <v>145</v>
      </c>
      <c r="R100" s="3" t="s">
        <v>146</v>
      </c>
      <c r="S100" s="3" t="s">
        <v>147</v>
      </c>
      <c r="T100" s="3" t="s">
        <v>148</v>
      </c>
      <c r="U100" s="3" t="s">
        <v>169</v>
      </c>
      <c r="V100" s="3" t="s">
        <v>170</v>
      </c>
      <c r="W100" s="3" t="n">
        <v>25.5</v>
      </c>
      <c r="X100" s="3" t="n">
        <f aca="false">IF(ISNUMBER(W100),W100*3.412142,"")</f>
        <v>87.009621</v>
      </c>
      <c r="Y100" s="3" t="s">
        <v>171</v>
      </c>
      <c r="Z100" s="4" t="s">
        <v>487</v>
      </c>
      <c r="AB100" s="7"/>
      <c r="AC100" s="7"/>
      <c r="AD100" s="7"/>
      <c r="AE100" s="7"/>
    </row>
    <row r="101" s="1" customFormat="true" ht="15.75" hidden="false" customHeight="true" outlineLevel="0" collapsed="false">
      <c r="A101" s="1" t="s">
        <v>165</v>
      </c>
      <c r="B101" s="1" t="s">
        <v>27</v>
      </c>
      <c r="C101" s="5" t="s">
        <v>488</v>
      </c>
      <c r="D101" s="1" t="s">
        <v>489</v>
      </c>
      <c r="E101" s="1" t="n">
        <v>4730</v>
      </c>
      <c r="J101" s="6" t="s">
        <v>30</v>
      </c>
      <c r="K101" s="9" t="s">
        <v>490</v>
      </c>
      <c r="L101" s="3" t="s">
        <v>141</v>
      </c>
      <c r="M101" s="3" t="s">
        <v>142</v>
      </c>
      <c r="N101" s="3" t="s">
        <v>143</v>
      </c>
      <c r="O101" s="3"/>
      <c r="P101" s="3" t="s">
        <v>144</v>
      </c>
      <c r="Q101" s="3" t="s">
        <v>145</v>
      </c>
      <c r="R101" s="3" t="s">
        <v>146</v>
      </c>
      <c r="S101" s="3" t="s">
        <v>147</v>
      </c>
      <c r="T101" s="3" t="s">
        <v>148</v>
      </c>
      <c r="U101" s="3" t="s">
        <v>169</v>
      </c>
      <c r="V101" s="3" t="s">
        <v>170</v>
      </c>
      <c r="W101" s="3" t="n">
        <v>25.5</v>
      </c>
      <c r="X101" s="3" t="n">
        <f aca="false">IF(ISNUMBER(W101),W101*3.412142,"")</f>
        <v>87.009621</v>
      </c>
      <c r="Y101" s="3" t="s">
        <v>171</v>
      </c>
      <c r="Z101" s="4" t="s">
        <v>491</v>
      </c>
      <c r="AB101" s="7"/>
      <c r="AC101" s="7"/>
      <c r="AD101" s="7"/>
      <c r="AE101" s="7"/>
    </row>
    <row r="102" s="1" customFormat="true" ht="15.75" hidden="false" customHeight="true" outlineLevel="0" collapsed="false">
      <c r="A102" s="1" t="s">
        <v>165</v>
      </c>
      <c r="B102" s="1" t="s">
        <v>27</v>
      </c>
      <c r="C102" s="5" t="s">
        <v>492</v>
      </c>
      <c r="D102" s="1" t="s">
        <v>493</v>
      </c>
      <c r="E102" s="1" t="n">
        <v>1460</v>
      </c>
      <c r="J102" s="6" t="s">
        <v>30</v>
      </c>
      <c r="K102" s="9" t="s">
        <v>494</v>
      </c>
      <c r="L102" s="3" t="s">
        <v>141</v>
      </c>
      <c r="M102" s="3" t="s">
        <v>142</v>
      </c>
      <c r="N102" s="3" t="s">
        <v>143</v>
      </c>
      <c r="O102" s="3"/>
      <c r="P102" s="3" t="s">
        <v>144</v>
      </c>
      <c r="Q102" s="3" t="s">
        <v>145</v>
      </c>
      <c r="R102" s="3" t="s">
        <v>146</v>
      </c>
      <c r="S102" s="3" t="s">
        <v>147</v>
      </c>
      <c r="T102" s="3" t="s">
        <v>148</v>
      </c>
      <c r="U102" s="3" t="s">
        <v>169</v>
      </c>
      <c r="V102" s="3" t="s">
        <v>254</v>
      </c>
      <c r="W102" s="3" t="n">
        <v>15.4</v>
      </c>
      <c r="X102" s="3" t="n">
        <f aca="false">IF(ISNUMBER(W102),W102*3.412142,"")</f>
        <v>52.5469868</v>
      </c>
      <c r="Y102" s="3" t="s">
        <v>474</v>
      </c>
      <c r="Z102" s="4"/>
      <c r="AB102" s="7"/>
      <c r="AC102" s="7"/>
      <c r="AD102" s="7"/>
      <c r="AE102" s="7"/>
    </row>
    <row r="103" s="1" customFormat="true" ht="15.75" hidden="false" customHeight="true" outlineLevel="0" collapsed="false">
      <c r="A103" s="1" t="s">
        <v>165</v>
      </c>
      <c r="B103" s="1" t="s">
        <v>27</v>
      </c>
      <c r="C103" s="5" t="s">
        <v>495</v>
      </c>
      <c r="D103" s="1" t="s">
        <v>496</v>
      </c>
      <c r="E103" s="1" t="n">
        <v>3150</v>
      </c>
      <c r="J103" s="6" t="s">
        <v>30</v>
      </c>
      <c r="K103" s="9" t="s">
        <v>497</v>
      </c>
      <c r="L103" s="3" t="s">
        <v>46</v>
      </c>
      <c r="M103" s="3" t="s">
        <v>122</v>
      </c>
      <c r="N103" s="3" t="s">
        <v>48</v>
      </c>
      <c r="O103" s="3"/>
      <c r="P103" s="3" t="s">
        <v>123</v>
      </c>
      <c r="Q103" s="3" t="s">
        <v>36</v>
      </c>
      <c r="R103" s="3" t="s">
        <v>37</v>
      </c>
      <c r="S103" s="3" t="s">
        <v>38</v>
      </c>
      <c r="T103" s="3" t="s">
        <v>39</v>
      </c>
      <c r="U103" s="3" t="s">
        <v>169</v>
      </c>
      <c r="V103" s="3" t="s">
        <v>170</v>
      </c>
      <c r="W103" s="3" t="n">
        <v>25.5</v>
      </c>
      <c r="X103" s="3" t="n">
        <f aca="false">IF(ISNUMBER(W103),W103*3.412142,"")</f>
        <v>87.009621</v>
      </c>
      <c r="Y103" s="3" t="s">
        <v>171</v>
      </c>
      <c r="Z103" s="4" t="s">
        <v>498</v>
      </c>
      <c r="AB103" s="7"/>
      <c r="AC103" s="7"/>
      <c r="AD103" s="7"/>
      <c r="AE103" s="7"/>
    </row>
    <row r="104" s="1" customFormat="true" ht="15.75" hidden="false" customHeight="true" outlineLevel="0" collapsed="false">
      <c r="A104" s="1" t="s">
        <v>165</v>
      </c>
      <c r="B104" s="1" t="s">
        <v>27</v>
      </c>
      <c r="C104" s="5" t="s">
        <v>191</v>
      </c>
      <c r="D104" s="1" t="s">
        <v>192</v>
      </c>
      <c r="E104" s="1" t="n">
        <v>2910</v>
      </c>
      <c r="J104" s="6" t="s">
        <v>30</v>
      </c>
      <c r="K104" s="9" t="s">
        <v>499</v>
      </c>
      <c r="L104" s="3" t="s">
        <v>46</v>
      </c>
      <c r="M104" s="3" t="s">
        <v>122</v>
      </c>
      <c r="N104" s="3" t="s">
        <v>48</v>
      </c>
      <c r="O104" s="3"/>
      <c r="P104" s="3" t="s">
        <v>123</v>
      </c>
      <c r="Q104" s="3" t="s">
        <v>36</v>
      </c>
      <c r="R104" s="3" t="s">
        <v>37</v>
      </c>
      <c r="S104" s="3" t="s">
        <v>38</v>
      </c>
      <c r="T104" s="3" t="s">
        <v>39</v>
      </c>
      <c r="U104" s="3" t="s">
        <v>169</v>
      </c>
      <c r="V104" s="3" t="s">
        <v>170</v>
      </c>
      <c r="W104" s="3" t="n">
        <v>25.5</v>
      </c>
      <c r="X104" s="3" t="n">
        <f aca="false">IF(ISNUMBER(W104),W104*3.412142,"")</f>
        <v>87.009621</v>
      </c>
      <c r="Y104" s="3" t="s">
        <v>171</v>
      </c>
      <c r="Z104" s="4"/>
      <c r="AB104" s="7"/>
      <c r="AC104" s="7"/>
      <c r="AD104" s="7"/>
      <c r="AE104" s="7"/>
    </row>
    <row r="105" s="1" customFormat="true" ht="15.75" hidden="false" customHeight="true" outlineLevel="0" collapsed="false">
      <c r="A105" s="1" t="s">
        <v>165</v>
      </c>
      <c r="B105" s="1" t="s">
        <v>27</v>
      </c>
      <c r="C105" s="5" t="s">
        <v>500</v>
      </c>
      <c r="D105" s="1" t="s">
        <v>501</v>
      </c>
      <c r="E105" s="1" t="n">
        <v>3150</v>
      </c>
      <c r="J105" s="6" t="s">
        <v>30</v>
      </c>
      <c r="K105" s="9" t="s">
        <v>502</v>
      </c>
      <c r="L105" s="3" t="s">
        <v>46</v>
      </c>
      <c r="M105" s="3" t="s">
        <v>122</v>
      </c>
      <c r="N105" s="3" t="s">
        <v>48</v>
      </c>
      <c r="O105" s="3"/>
      <c r="P105" s="3" t="s">
        <v>123</v>
      </c>
      <c r="Q105" s="3" t="s">
        <v>36</v>
      </c>
      <c r="R105" s="3" t="s">
        <v>37</v>
      </c>
      <c r="S105" s="3" t="s">
        <v>38</v>
      </c>
      <c r="T105" s="3" t="s">
        <v>39</v>
      </c>
      <c r="U105" s="3" t="s">
        <v>169</v>
      </c>
      <c r="V105" s="3" t="s">
        <v>170</v>
      </c>
      <c r="W105" s="3" t="n">
        <v>25.5</v>
      </c>
      <c r="X105" s="3" t="n">
        <f aca="false">IF(ISNUMBER(W105),W105*3.412142,"")</f>
        <v>87.009621</v>
      </c>
      <c r="Y105" s="3" t="s">
        <v>171</v>
      </c>
      <c r="Z105" s="4" t="s">
        <v>503</v>
      </c>
      <c r="AB105" s="7"/>
      <c r="AC105" s="7"/>
      <c r="AD105" s="7"/>
      <c r="AE105" s="7"/>
    </row>
    <row r="106" s="1" customFormat="true" ht="15.75" hidden="false" customHeight="true" outlineLevel="0" collapsed="false">
      <c r="A106" s="1" t="s">
        <v>165</v>
      </c>
      <c r="B106" s="1" t="s">
        <v>27</v>
      </c>
      <c r="C106" s="5" t="s">
        <v>504</v>
      </c>
      <c r="D106" s="1" t="s">
        <v>505</v>
      </c>
      <c r="E106" s="1" t="n">
        <v>3520</v>
      </c>
      <c r="J106" s="6" t="s">
        <v>30</v>
      </c>
      <c r="K106" s="9" t="s">
        <v>497</v>
      </c>
      <c r="L106" s="3" t="s">
        <v>46</v>
      </c>
      <c r="M106" s="3" t="s">
        <v>122</v>
      </c>
      <c r="N106" s="3" t="s">
        <v>48</v>
      </c>
      <c r="O106" s="3"/>
      <c r="P106" s="3" t="s">
        <v>123</v>
      </c>
      <c r="Q106" s="3" t="s">
        <v>36</v>
      </c>
      <c r="R106" s="3" t="s">
        <v>37</v>
      </c>
      <c r="S106" s="3" t="s">
        <v>38</v>
      </c>
      <c r="T106" s="3" t="s">
        <v>39</v>
      </c>
      <c r="U106" s="3" t="s">
        <v>169</v>
      </c>
      <c r="V106" s="3" t="s">
        <v>170</v>
      </c>
      <c r="W106" s="3" t="n">
        <v>25.5</v>
      </c>
      <c r="X106" s="3" t="n">
        <f aca="false">IF(ISNUMBER(W106),W106*3.412142,"")</f>
        <v>87.009621</v>
      </c>
      <c r="Y106" s="3" t="s">
        <v>171</v>
      </c>
      <c r="Z106" s="4" t="s">
        <v>506</v>
      </c>
      <c r="AB106" s="7"/>
      <c r="AC106" s="7"/>
      <c r="AD106" s="7"/>
      <c r="AE106" s="7"/>
    </row>
    <row r="107" s="1" customFormat="true" ht="15.75" hidden="false" customHeight="true" outlineLevel="0" collapsed="false">
      <c r="A107" s="1" t="s">
        <v>507</v>
      </c>
      <c r="B107" s="1" t="s">
        <v>27</v>
      </c>
      <c r="C107" s="5" t="s">
        <v>508</v>
      </c>
      <c r="D107" s="1" t="s">
        <v>509</v>
      </c>
      <c r="E107" s="1" t="n">
        <v>12590</v>
      </c>
      <c r="J107" s="6" t="s">
        <v>30</v>
      </c>
      <c r="K107" s="9" t="s">
        <v>510</v>
      </c>
      <c r="L107" s="3" t="s">
        <v>54</v>
      </c>
      <c r="M107" s="3" t="s">
        <v>62</v>
      </c>
      <c r="N107" s="3" t="s">
        <v>446</v>
      </c>
      <c r="O107" s="3"/>
      <c r="P107" s="3" t="s">
        <v>302</v>
      </c>
      <c r="Q107" s="3" t="s">
        <v>65</v>
      </c>
      <c r="R107" s="3" t="s">
        <v>66</v>
      </c>
      <c r="S107" s="3" t="s">
        <v>67</v>
      </c>
      <c r="T107" s="3" t="s">
        <v>39</v>
      </c>
      <c r="U107" s="3" t="s">
        <v>40</v>
      </c>
      <c r="V107" s="3" t="s">
        <v>69</v>
      </c>
      <c r="W107" s="3" t="n">
        <v>250</v>
      </c>
      <c r="X107" s="3" t="n">
        <f aca="false">IF(ISNUMBER(W107),W107*3.412142,"")</f>
        <v>853.0355</v>
      </c>
      <c r="Y107" s="3" t="s">
        <v>42</v>
      </c>
      <c r="Z107" s="4"/>
      <c r="AB107" s="7"/>
      <c r="AC107" s="7"/>
      <c r="AD107" s="7"/>
      <c r="AE107" s="7"/>
    </row>
    <row r="108" s="1" customFormat="true" ht="15.75" hidden="false" customHeight="true" outlineLevel="0" collapsed="false">
      <c r="A108" s="1" t="s">
        <v>507</v>
      </c>
      <c r="B108" s="1" t="s">
        <v>27</v>
      </c>
      <c r="C108" s="5" t="s">
        <v>511</v>
      </c>
      <c r="D108" s="1" t="s">
        <v>512</v>
      </c>
      <c r="E108" s="1" t="n">
        <v>5350</v>
      </c>
      <c r="J108" s="6" t="s">
        <v>30</v>
      </c>
      <c r="K108" s="9" t="s">
        <v>513</v>
      </c>
      <c r="L108" s="3" t="s">
        <v>54</v>
      </c>
      <c r="M108" s="3" t="s">
        <v>62</v>
      </c>
      <c r="N108" s="3" t="s">
        <v>446</v>
      </c>
      <c r="O108" s="3"/>
      <c r="P108" s="3" t="s">
        <v>302</v>
      </c>
      <c r="Q108" s="3" t="s">
        <v>65</v>
      </c>
      <c r="R108" s="3" t="s">
        <v>66</v>
      </c>
      <c r="S108" s="3" t="s">
        <v>67</v>
      </c>
      <c r="T108" s="3" t="s">
        <v>39</v>
      </c>
      <c r="U108" s="3" t="s">
        <v>40</v>
      </c>
      <c r="V108" s="3" t="s">
        <v>69</v>
      </c>
      <c r="W108" s="3" t="n">
        <v>250</v>
      </c>
      <c r="X108" s="3" t="n">
        <f aca="false">IF(ISNUMBER(W108),W108*3.412142,"")</f>
        <v>853.0355</v>
      </c>
      <c r="Y108" s="3" t="s">
        <v>42</v>
      </c>
      <c r="Z108" s="4" t="s">
        <v>514</v>
      </c>
      <c r="AB108" s="7"/>
      <c r="AC108" s="7"/>
      <c r="AD108" s="7"/>
      <c r="AE108" s="7"/>
    </row>
    <row r="109" s="1" customFormat="true" ht="15.75" hidden="false" customHeight="true" outlineLevel="0" collapsed="false">
      <c r="A109" s="1" t="s">
        <v>507</v>
      </c>
      <c r="B109" s="1" t="s">
        <v>27</v>
      </c>
      <c r="C109" s="5" t="s">
        <v>515</v>
      </c>
      <c r="D109" s="1" t="s">
        <v>516</v>
      </c>
      <c r="E109" s="1" t="n">
        <v>2910</v>
      </c>
      <c r="J109" s="6" t="s">
        <v>30</v>
      </c>
      <c r="K109" s="9" t="s">
        <v>517</v>
      </c>
      <c r="L109" s="3" t="s">
        <v>46</v>
      </c>
      <c r="M109" s="3" t="s">
        <v>55</v>
      </c>
      <c r="N109" s="3" t="s">
        <v>48</v>
      </c>
      <c r="O109" s="3"/>
      <c r="P109" s="3" t="s">
        <v>49</v>
      </c>
      <c r="Q109" s="3" t="s">
        <v>36</v>
      </c>
      <c r="R109" s="3" t="s">
        <v>37</v>
      </c>
      <c r="S109" s="3" t="s">
        <v>38</v>
      </c>
      <c r="T109" s="3" t="s">
        <v>39</v>
      </c>
      <c r="U109" s="3" t="s">
        <v>40</v>
      </c>
      <c r="V109" s="3" t="s">
        <v>41</v>
      </c>
      <c r="W109" s="3" t="n">
        <v>100</v>
      </c>
      <c r="X109" s="3" t="n">
        <f aca="false">IF(ISNUMBER(W109),W109*3.412142,"")</f>
        <v>341.2142</v>
      </c>
      <c r="Y109" s="3" t="s">
        <v>42</v>
      </c>
      <c r="Z109" s="4"/>
      <c r="AB109" s="7"/>
      <c r="AC109" s="7"/>
      <c r="AD109" s="7"/>
      <c r="AE109" s="7"/>
    </row>
    <row r="110" s="1" customFormat="true" ht="15.75" hidden="false" customHeight="true" outlineLevel="0" collapsed="false">
      <c r="A110" s="1" t="s">
        <v>507</v>
      </c>
      <c r="B110" s="1" t="s">
        <v>27</v>
      </c>
      <c r="C110" s="5" t="s">
        <v>518</v>
      </c>
      <c r="D110" s="1" t="s">
        <v>519</v>
      </c>
      <c r="E110" s="1" t="n">
        <v>2910</v>
      </c>
      <c r="J110" s="6" t="s">
        <v>30</v>
      </c>
      <c r="K110" s="9" t="s">
        <v>520</v>
      </c>
      <c r="L110" s="3" t="s">
        <v>46</v>
      </c>
      <c r="M110" s="3" t="s">
        <v>55</v>
      </c>
      <c r="N110" s="3" t="s">
        <v>48</v>
      </c>
      <c r="O110" s="3"/>
      <c r="P110" s="3" t="s">
        <v>49</v>
      </c>
      <c r="Q110" s="3" t="s">
        <v>36</v>
      </c>
      <c r="R110" s="3" t="s">
        <v>37</v>
      </c>
      <c r="S110" s="3" t="s">
        <v>38</v>
      </c>
      <c r="T110" s="3" t="s">
        <v>39</v>
      </c>
      <c r="U110" s="3" t="s">
        <v>40</v>
      </c>
      <c r="V110" s="3" t="s">
        <v>41</v>
      </c>
      <c r="W110" s="3" t="n">
        <v>100</v>
      </c>
      <c r="X110" s="3" t="n">
        <f aca="false">IF(ISNUMBER(W110),W110*3.412142,"")</f>
        <v>341.2142</v>
      </c>
      <c r="Y110" s="3" t="s">
        <v>42</v>
      </c>
      <c r="Z110" s="4"/>
      <c r="AB110" s="7"/>
      <c r="AC110" s="7"/>
      <c r="AD110" s="7"/>
      <c r="AE110" s="7"/>
    </row>
    <row r="111" s="1" customFormat="true" ht="15.75" hidden="false" customHeight="true" outlineLevel="0" collapsed="false">
      <c r="A111" s="1" t="s">
        <v>507</v>
      </c>
      <c r="B111" s="1" t="s">
        <v>27</v>
      </c>
      <c r="C111" s="1" t="s">
        <v>521</v>
      </c>
      <c r="D111" s="1" t="s">
        <v>522</v>
      </c>
      <c r="E111" s="1" t="n">
        <v>1940</v>
      </c>
      <c r="J111" s="6" t="s">
        <v>30</v>
      </c>
      <c r="K111" s="9" t="s">
        <v>523</v>
      </c>
      <c r="L111" s="3" t="s">
        <v>46</v>
      </c>
      <c r="M111" s="3" t="s">
        <v>55</v>
      </c>
      <c r="N111" s="3" t="s">
        <v>48</v>
      </c>
      <c r="O111" s="3"/>
      <c r="P111" s="3" t="s">
        <v>49</v>
      </c>
      <c r="Q111" s="3" t="s">
        <v>36</v>
      </c>
      <c r="R111" s="3" t="s">
        <v>37</v>
      </c>
      <c r="S111" s="3" t="s">
        <v>38</v>
      </c>
      <c r="T111" s="3" t="s">
        <v>39</v>
      </c>
      <c r="U111" s="3" t="s">
        <v>40</v>
      </c>
      <c r="V111" s="3" t="s">
        <v>41</v>
      </c>
      <c r="W111" s="3" t="n">
        <v>100</v>
      </c>
      <c r="X111" s="3" t="n">
        <f aca="false">IF(ISNUMBER(W111),W111*3.412142,"")</f>
        <v>341.2142</v>
      </c>
      <c r="Y111" s="3" t="s">
        <v>42</v>
      </c>
      <c r="Z111" s="4"/>
      <c r="AB111" s="7"/>
      <c r="AC111" s="7"/>
      <c r="AD111" s="7"/>
      <c r="AE111" s="7"/>
    </row>
    <row r="112" s="1" customFormat="true" ht="15.75" hidden="false" customHeight="true" outlineLevel="0" collapsed="false">
      <c r="A112" s="1" t="s">
        <v>237</v>
      </c>
      <c r="B112" s="1" t="s">
        <v>27</v>
      </c>
      <c r="C112" s="1" t="s">
        <v>524</v>
      </c>
      <c r="D112" s="1" t="s">
        <v>525</v>
      </c>
      <c r="E112" s="1" t="n">
        <v>850</v>
      </c>
      <c r="J112" s="6" t="s">
        <v>30</v>
      </c>
      <c r="K112" s="5" t="s">
        <v>281</v>
      </c>
      <c r="L112" s="3" t="s">
        <v>142</v>
      </c>
      <c r="M112" s="3" t="s">
        <v>141</v>
      </c>
      <c r="N112" s="3" t="s">
        <v>526</v>
      </c>
      <c r="O112" s="3"/>
      <c r="P112" s="3" t="s">
        <v>527</v>
      </c>
      <c r="Q112" s="3" t="s">
        <v>285</v>
      </c>
      <c r="R112" s="3" t="s">
        <v>146</v>
      </c>
      <c r="S112" s="3" t="s">
        <v>147</v>
      </c>
      <c r="T112" s="3" t="s">
        <v>148</v>
      </c>
      <c r="U112" s="3" t="s">
        <v>169</v>
      </c>
      <c r="V112" s="3" t="s">
        <v>286</v>
      </c>
      <c r="W112" s="3" t="n">
        <v>13</v>
      </c>
      <c r="X112" s="3" t="n">
        <f aca="false">IF(ISNUMBER(W112),W112*3.412142,"")</f>
        <v>44.357846</v>
      </c>
      <c r="Y112" s="3" t="s">
        <v>255</v>
      </c>
      <c r="Z112" s="4"/>
      <c r="AB112" s="7"/>
      <c r="AC112" s="7"/>
      <c r="AD112" s="7"/>
      <c r="AE112" s="7"/>
    </row>
    <row r="113" s="1" customFormat="true" ht="15.75" hidden="false" customHeight="true" outlineLevel="0" collapsed="false">
      <c r="A113" s="1" t="s">
        <v>237</v>
      </c>
      <c r="B113" s="1" t="s">
        <v>27</v>
      </c>
      <c r="C113" s="1" t="s">
        <v>528</v>
      </c>
      <c r="D113" s="1" t="s">
        <v>529</v>
      </c>
      <c r="E113" s="1" t="n">
        <v>920</v>
      </c>
      <c r="J113" s="6" t="s">
        <v>30</v>
      </c>
      <c r="K113" s="5" t="s">
        <v>281</v>
      </c>
      <c r="L113" s="3" t="s">
        <v>142</v>
      </c>
      <c r="M113" s="3" t="s">
        <v>141</v>
      </c>
      <c r="N113" s="3" t="s">
        <v>526</v>
      </c>
      <c r="O113" s="3"/>
      <c r="P113" s="3" t="s">
        <v>527</v>
      </c>
      <c r="Q113" s="3" t="s">
        <v>285</v>
      </c>
      <c r="R113" s="3" t="s">
        <v>146</v>
      </c>
      <c r="S113" s="3" t="s">
        <v>147</v>
      </c>
      <c r="T113" s="3" t="s">
        <v>148</v>
      </c>
      <c r="U113" s="3" t="s">
        <v>169</v>
      </c>
      <c r="V113" s="3" t="s">
        <v>286</v>
      </c>
      <c r="W113" s="3" t="n">
        <v>13</v>
      </c>
      <c r="X113" s="3" t="n">
        <f aca="false">IF(ISNUMBER(W113),W113*3.412142,"")</f>
        <v>44.357846</v>
      </c>
      <c r="Y113" s="3" t="s">
        <v>255</v>
      </c>
      <c r="Z113" s="4"/>
      <c r="AB113" s="7"/>
      <c r="AC113" s="7"/>
      <c r="AD113" s="7"/>
      <c r="AE113" s="7"/>
    </row>
    <row r="114" s="1" customFormat="true" ht="15.75" hidden="false" customHeight="true" outlineLevel="0" collapsed="false">
      <c r="A114" s="1" t="s">
        <v>237</v>
      </c>
      <c r="B114" s="1" t="s">
        <v>27</v>
      </c>
      <c r="C114" s="1" t="s">
        <v>530</v>
      </c>
      <c r="D114" s="1" t="s">
        <v>531</v>
      </c>
      <c r="E114" s="1" t="n">
        <v>810</v>
      </c>
      <c r="J114" s="6" t="s">
        <v>30</v>
      </c>
      <c r="K114" s="5" t="s">
        <v>532</v>
      </c>
      <c r="L114" s="3" t="s">
        <v>141</v>
      </c>
      <c r="M114" s="3" t="s">
        <v>142</v>
      </c>
      <c r="N114" s="3" t="s">
        <v>533</v>
      </c>
      <c r="O114" s="3"/>
      <c r="P114" s="3" t="s">
        <v>310</v>
      </c>
      <c r="Q114" s="3" t="s">
        <v>285</v>
      </c>
      <c r="R114" s="3" t="s">
        <v>146</v>
      </c>
      <c r="S114" s="3" t="s">
        <v>147</v>
      </c>
      <c r="T114" s="3" t="s">
        <v>148</v>
      </c>
      <c r="U114" s="3" t="s">
        <v>169</v>
      </c>
      <c r="V114" s="3" t="s">
        <v>286</v>
      </c>
      <c r="W114" s="3" t="n">
        <v>13</v>
      </c>
      <c r="X114" s="3" t="n">
        <f aca="false">IF(ISNUMBER(W114),W114*3.412142,"")</f>
        <v>44.357846</v>
      </c>
      <c r="Y114" s="3" t="s">
        <v>255</v>
      </c>
      <c r="Z114" s="4"/>
      <c r="AB114" s="7"/>
      <c r="AC114" s="7"/>
      <c r="AD114" s="7"/>
      <c r="AE114" s="7"/>
    </row>
    <row r="115" s="1" customFormat="true" ht="15.75" hidden="false" customHeight="true" outlineLevel="0" collapsed="false">
      <c r="A115" s="1" t="s">
        <v>237</v>
      </c>
      <c r="B115" s="1" t="s">
        <v>27</v>
      </c>
      <c r="C115" s="1" t="s">
        <v>534</v>
      </c>
      <c r="D115" s="1" t="s">
        <v>535</v>
      </c>
      <c r="E115" s="1" t="n">
        <v>810</v>
      </c>
      <c r="J115" s="6" t="s">
        <v>30</v>
      </c>
      <c r="K115" s="5" t="s">
        <v>532</v>
      </c>
      <c r="L115" s="3" t="s">
        <v>141</v>
      </c>
      <c r="M115" s="3" t="s">
        <v>142</v>
      </c>
      <c r="N115" s="3" t="s">
        <v>533</v>
      </c>
      <c r="O115" s="3"/>
      <c r="P115" s="3" t="s">
        <v>310</v>
      </c>
      <c r="Q115" s="3" t="s">
        <v>285</v>
      </c>
      <c r="R115" s="3" t="s">
        <v>146</v>
      </c>
      <c r="S115" s="3" t="s">
        <v>147</v>
      </c>
      <c r="T115" s="3" t="s">
        <v>148</v>
      </c>
      <c r="U115" s="3" t="s">
        <v>169</v>
      </c>
      <c r="V115" s="3" t="s">
        <v>286</v>
      </c>
      <c r="W115" s="3" t="n">
        <v>13</v>
      </c>
      <c r="X115" s="3" t="n">
        <f aca="false">IF(ISNUMBER(W115),W115*3.412142,"")</f>
        <v>44.357846</v>
      </c>
      <c r="Y115" s="3" t="s">
        <v>255</v>
      </c>
      <c r="Z115" s="4"/>
      <c r="AB115" s="7"/>
      <c r="AC115" s="7"/>
      <c r="AD115" s="7"/>
      <c r="AE115" s="7"/>
    </row>
    <row r="116" s="1" customFormat="true" ht="15.75" hidden="false" customHeight="true" outlineLevel="0" collapsed="false">
      <c r="A116" s="1" t="s">
        <v>237</v>
      </c>
      <c r="B116" s="1" t="s">
        <v>27</v>
      </c>
      <c r="C116" s="1" t="s">
        <v>536</v>
      </c>
      <c r="D116" s="1" t="s">
        <v>537</v>
      </c>
      <c r="E116" s="1" t="n">
        <v>810</v>
      </c>
      <c r="J116" s="6" t="s">
        <v>30</v>
      </c>
      <c r="K116" s="5" t="s">
        <v>532</v>
      </c>
      <c r="L116" s="3" t="s">
        <v>141</v>
      </c>
      <c r="M116" s="3" t="s">
        <v>142</v>
      </c>
      <c r="N116" s="3" t="s">
        <v>533</v>
      </c>
      <c r="O116" s="3"/>
      <c r="P116" s="3" t="s">
        <v>310</v>
      </c>
      <c r="Q116" s="3" t="s">
        <v>285</v>
      </c>
      <c r="R116" s="3" t="s">
        <v>146</v>
      </c>
      <c r="S116" s="3" t="s">
        <v>147</v>
      </c>
      <c r="T116" s="3" t="s">
        <v>148</v>
      </c>
      <c r="U116" s="3" t="s">
        <v>169</v>
      </c>
      <c r="V116" s="3" t="s">
        <v>286</v>
      </c>
      <c r="W116" s="3" t="n">
        <v>13</v>
      </c>
      <c r="X116" s="3" t="n">
        <f aca="false">IF(ISNUMBER(W116),W116*3.412142,"")</f>
        <v>44.357846</v>
      </c>
      <c r="Y116" s="3" t="s">
        <v>255</v>
      </c>
      <c r="Z116" s="4"/>
      <c r="AB116" s="7"/>
      <c r="AC116" s="7"/>
      <c r="AD116" s="7"/>
      <c r="AE116" s="7"/>
    </row>
    <row r="117" s="1" customFormat="true" ht="15.75" hidden="false" customHeight="true" outlineLevel="0" collapsed="false">
      <c r="A117" s="1" t="s">
        <v>237</v>
      </c>
      <c r="B117" s="1" t="s">
        <v>27</v>
      </c>
      <c r="C117" s="1" t="s">
        <v>538</v>
      </c>
      <c r="D117" s="1" t="s">
        <v>539</v>
      </c>
      <c r="E117" s="1" t="n">
        <v>810</v>
      </c>
      <c r="J117" s="6" t="s">
        <v>30</v>
      </c>
      <c r="K117" s="5" t="s">
        <v>532</v>
      </c>
      <c r="L117" s="3" t="s">
        <v>141</v>
      </c>
      <c r="M117" s="3" t="s">
        <v>142</v>
      </c>
      <c r="N117" s="3" t="s">
        <v>533</v>
      </c>
      <c r="O117" s="3"/>
      <c r="P117" s="3" t="s">
        <v>310</v>
      </c>
      <c r="Q117" s="3" t="s">
        <v>285</v>
      </c>
      <c r="R117" s="3" t="s">
        <v>146</v>
      </c>
      <c r="S117" s="3" t="s">
        <v>147</v>
      </c>
      <c r="T117" s="3" t="s">
        <v>148</v>
      </c>
      <c r="U117" s="3" t="s">
        <v>169</v>
      </c>
      <c r="V117" s="3" t="s">
        <v>286</v>
      </c>
      <c r="W117" s="3" t="n">
        <v>13</v>
      </c>
      <c r="X117" s="3" t="n">
        <f aca="false">IF(ISNUMBER(W117),W117*3.412142,"")</f>
        <v>44.357846</v>
      </c>
      <c r="Y117" s="3" t="s">
        <v>255</v>
      </c>
      <c r="Z117" s="4"/>
      <c r="AB117" s="7"/>
      <c r="AC117" s="7"/>
      <c r="AD117" s="7"/>
      <c r="AE117" s="7"/>
    </row>
    <row r="118" s="1" customFormat="true" ht="15.75" hidden="false" customHeight="true" outlineLevel="0" collapsed="false">
      <c r="A118" s="1" t="s">
        <v>237</v>
      </c>
      <c r="B118" s="1" t="s">
        <v>27</v>
      </c>
      <c r="C118" s="1" t="s">
        <v>540</v>
      </c>
      <c r="D118" s="1" t="s">
        <v>541</v>
      </c>
      <c r="E118" s="1" t="n">
        <v>810</v>
      </c>
      <c r="J118" s="6" t="s">
        <v>30</v>
      </c>
      <c r="K118" s="5" t="s">
        <v>532</v>
      </c>
      <c r="L118" s="3" t="s">
        <v>141</v>
      </c>
      <c r="M118" s="3" t="s">
        <v>142</v>
      </c>
      <c r="N118" s="3" t="s">
        <v>533</v>
      </c>
      <c r="O118" s="3"/>
      <c r="P118" s="3" t="s">
        <v>310</v>
      </c>
      <c r="Q118" s="3" t="s">
        <v>285</v>
      </c>
      <c r="R118" s="3" t="s">
        <v>146</v>
      </c>
      <c r="S118" s="3" t="s">
        <v>147</v>
      </c>
      <c r="T118" s="3" t="s">
        <v>148</v>
      </c>
      <c r="U118" s="3" t="s">
        <v>169</v>
      </c>
      <c r="V118" s="3" t="s">
        <v>286</v>
      </c>
      <c r="W118" s="3" t="n">
        <v>13</v>
      </c>
      <c r="X118" s="3" t="n">
        <f aca="false">IF(ISNUMBER(W118),W118*3.412142,"")</f>
        <v>44.357846</v>
      </c>
      <c r="Y118" s="3" t="s">
        <v>255</v>
      </c>
      <c r="Z118" s="4"/>
      <c r="AB118" s="7"/>
      <c r="AC118" s="7"/>
      <c r="AD118" s="7"/>
      <c r="AE118" s="7"/>
    </row>
    <row r="119" s="1" customFormat="true" ht="15.75" hidden="false" customHeight="true" outlineLevel="0" collapsed="false">
      <c r="A119" s="1" t="s">
        <v>237</v>
      </c>
      <c r="B119" s="1" t="s">
        <v>27</v>
      </c>
      <c r="C119" s="1" t="s">
        <v>542</v>
      </c>
      <c r="D119" s="1" t="s">
        <v>543</v>
      </c>
      <c r="E119" s="1" t="n">
        <v>810</v>
      </c>
      <c r="J119" s="6" t="s">
        <v>30</v>
      </c>
      <c r="K119" s="5" t="s">
        <v>532</v>
      </c>
      <c r="L119" s="3" t="s">
        <v>141</v>
      </c>
      <c r="M119" s="3" t="s">
        <v>142</v>
      </c>
      <c r="N119" s="3" t="s">
        <v>533</v>
      </c>
      <c r="O119" s="3"/>
      <c r="P119" s="3" t="s">
        <v>310</v>
      </c>
      <c r="Q119" s="3" t="s">
        <v>285</v>
      </c>
      <c r="R119" s="3" t="s">
        <v>146</v>
      </c>
      <c r="S119" s="3" t="s">
        <v>147</v>
      </c>
      <c r="T119" s="3" t="s">
        <v>148</v>
      </c>
      <c r="U119" s="3" t="s">
        <v>169</v>
      </c>
      <c r="V119" s="3" t="s">
        <v>286</v>
      </c>
      <c r="W119" s="3" t="n">
        <v>13</v>
      </c>
      <c r="X119" s="3" t="n">
        <f aca="false">IF(ISNUMBER(W119),W119*3.412142,"")</f>
        <v>44.357846</v>
      </c>
      <c r="Y119" s="3" t="s">
        <v>255</v>
      </c>
      <c r="Z119" s="4"/>
      <c r="AB119" s="7"/>
      <c r="AC119" s="7"/>
      <c r="AD119" s="7"/>
      <c r="AE119" s="7"/>
    </row>
    <row r="120" s="1" customFormat="true" ht="15.75" hidden="false" customHeight="true" outlineLevel="0" collapsed="false">
      <c r="A120" s="1" t="s">
        <v>237</v>
      </c>
      <c r="B120" s="1" t="s">
        <v>27</v>
      </c>
      <c r="C120" s="1" t="s">
        <v>544</v>
      </c>
      <c r="D120" s="1" t="s">
        <v>545</v>
      </c>
      <c r="E120" s="1" t="n">
        <v>810</v>
      </c>
      <c r="J120" s="6" t="s">
        <v>30</v>
      </c>
      <c r="K120" s="5" t="s">
        <v>532</v>
      </c>
      <c r="L120" s="3" t="s">
        <v>546</v>
      </c>
      <c r="M120" s="3" t="s">
        <v>546</v>
      </c>
      <c r="N120" s="3" t="s">
        <v>533</v>
      </c>
      <c r="O120" s="3"/>
      <c r="P120" s="3" t="s">
        <v>310</v>
      </c>
      <c r="Q120" s="3" t="s">
        <v>285</v>
      </c>
      <c r="R120" s="3" t="s">
        <v>146</v>
      </c>
      <c r="S120" s="3" t="s">
        <v>147</v>
      </c>
      <c r="T120" s="3" t="s">
        <v>148</v>
      </c>
      <c r="U120" s="3" t="s">
        <v>169</v>
      </c>
      <c r="V120" s="3" t="s">
        <v>286</v>
      </c>
      <c r="W120" s="3" t="n">
        <v>13</v>
      </c>
      <c r="X120" s="3" t="n">
        <f aca="false">IF(ISNUMBER(W120),W120*3.412142,"")</f>
        <v>44.357846</v>
      </c>
      <c r="Y120" s="3" t="s">
        <v>255</v>
      </c>
      <c r="Z120" s="4"/>
      <c r="AB120" s="7"/>
      <c r="AC120" s="7"/>
      <c r="AD120" s="7"/>
      <c r="AE120" s="7"/>
    </row>
    <row r="121" s="1" customFormat="true" ht="15.75" hidden="false" customHeight="true" outlineLevel="0" collapsed="false">
      <c r="A121" s="1" t="s">
        <v>237</v>
      </c>
      <c r="B121" s="1" t="s">
        <v>27</v>
      </c>
      <c r="C121" s="1" t="s">
        <v>547</v>
      </c>
      <c r="D121" s="1" t="s">
        <v>548</v>
      </c>
      <c r="E121" s="1" t="n">
        <v>810</v>
      </c>
      <c r="J121" s="6" t="s">
        <v>30</v>
      </c>
      <c r="K121" s="5" t="s">
        <v>532</v>
      </c>
      <c r="L121" s="3" t="s">
        <v>546</v>
      </c>
      <c r="M121" s="3" t="s">
        <v>546</v>
      </c>
      <c r="N121" s="3" t="s">
        <v>533</v>
      </c>
      <c r="O121" s="3"/>
      <c r="P121" s="3" t="s">
        <v>310</v>
      </c>
      <c r="Q121" s="3" t="s">
        <v>285</v>
      </c>
      <c r="R121" s="3" t="s">
        <v>146</v>
      </c>
      <c r="S121" s="3" t="s">
        <v>147</v>
      </c>
      <c r="T121" s="3" t="s">
        <v>148</v>
      </c>
      <c r="U121" s="3" t="s">
        <v>169</v>
      </c>
      <c r="V121" s="3" t="s">
        <v>286</v>
      </c>
      <c r="W121" s="3" t="n">
        <v>13</v>
      </c>
      <c r="X121" s="3" t="n">
        <f aca="false">IF(ISNUMBER(W121),W121*3.412142,"")</f>
        <v>44.357846</v>
      </c>
      <c r="Y121" s="3" t="s">
        <v>255</v>
      </c>
      <c r="Z121" s="4"/>
      <c r="AB121" s="7"/>
      <c r="AC121" s="7"/>
      <c r="AD121" s="7"/>
      <c r="AE121" s="7"/>
    </row>
    <row r="122" s="1" customFormat="true" ht="15.75" hidden="false" customHeight="true" outlineLevel="0" collapsed="false">
      <c r="A122" s="1" t="s">
        <v>237</v>
      </c>
      <c r="B122" s="1" t="s">
        <v>27</v>
      </c>
      <c r="C122" s="1" t="s">
        <v>549</v>
      </c>
      <c r="D122" s="1" t="s">
        <v>550</v>
      </c>
      <c r="E122" s="1" t="n">
        <v>810</v>
      </c>
      <c r="J122" s="6" t="s">
        <v>30</v>
      </c>
      <c r="K122" s="5" t="s">
        <v>532</v>
      </c>
      <c r="L122" s="3" t="s">
        <v>546</v>
      </c>
      <c r="M122" s="3" t="s">
        <v>546</v>
      </c>
      <c r="N122" s="3" t="s">
        <v>533</v>
      </c>
      <c r="O122" s="3"/>
      <c r="P122" s="3" t="s">
        <v>310</v>
      </c>
      <c r="Q122" s="3" t="s">
        <v>285</v>
      </c>
      <c r="R122" s="3" t="s">
        <v>146</v>
      </c>
      <c r="S122" s="3" t="s">
        <v>147</v>
      </c>
      <c r="T122" s="3" t="s">
        <v>148</v>
      </c>
      <c r="U122" s="3" t="s">
        <v>169</v>
      </c>
      <c r="V122" s="3" t="s">
        <v>286</v>
      </c>
      <c r="W122" s="3" t="n">
        <v>13</v>
      </c>
      <c r="X122" s="3" t="n">
        <f aca="false">IF(ISNUMBER(W122),W122*3.412142,"")</f>
        <v>44.357846</v>
      </c>
      <c r="Y122" s="3" t="s">
        <v>255</v>
      </c>
      <c r="Z122" s="4"/>
      <c r="AB122" s="7"/>
      <c r="AC122" s="7"/>
      <c r="AD122" s="7"/>
      <c r="AE122" s="7"/>
    </row>
    <row r="123" s="1" customFormat="true" ht="15.75" hidden="false" customHeight="true" outlineLevel="0" collapsed="false">
      <c r="A123" s="1" t="s">
        <v>237</v>
      </c>
      <c r="B123" s="1" t="s">
        <v>27</v>
      </c>
      <c r="C123" s="1" t="s">
        <v>551</v>
      </c>
      <c r="D123" s="1" t="s">
        <v>552</v>
      </c>
      <c r="E123" s="1" t="n">
        <v>810</v>
      </c>
      <c r="J123" s="6" t="s">
        <v>30</v>
      </c>
      <c r="K123" s="5" t="s">
        <v>532</v>
      </c>
      <c r="L123" s="3" t="s">
        <v>546</v>
      </c>
      <c r="M123" s="3" t="s">
        <v>546</v>
      </c>
      <c r="N123" s="3" t="s">
        <v>533</v>
      </c>
      <c r="O123" s="3"/>
      <c r="P123" s="3" t="s">
        <v>310</v>
      </c>
      <c r="Q123" s="3" t="s">
        <v>285</v>
      </c>
      <c r="R123" s="3" t="s">
        <v>146</v>
      </c>
      <c r="S123" s="3" t="s">
        <v>147</v>
      </c>
      <c r="T123" s="3" t="s">
        <v>148</v>
      </c>
      <c r="U123" s="3" t="s">
        <v>169</v>
      </c>
      <c r="V123" s="3" t="s">
        <v>286</v>
      </c>
      <c r="W123" s="3" t="n">
        <v>13</v>
      </c>
      <c r="X123" s="3" t="n">
        <f aca="false">IF(ISNUMBER(W123),W123*3.412142,"")</f>
        <v>44.357846</v>
      </c>
      <c r="Y123" s="3" t="s">
        <v>255</v>
      </c>
      <c r="Z123" s="4"/>
      <c r="AB123" s="7"/>
      <c r="AC123" s="7"/>
      <c r="AD123" s="7"/>
      <c r="AE123" s="7"/>
    </row>
    <row r="124" s="1" customFormat="true" ht="15.75" hidden="false" customHeight="true" outlineLevel="0" collapsed="false">
      <c r="A124" s="1" t="s">
        <v>237</v>
      </c>
      <c r="B124" s="1" t="s">
        <v>27</v>
      </c>
      <c r="C124" s="1" t="s">
        <v>553</v>
      </c>
      <c r="D124" s="1" t="s">
        <v>554</v>
      </c>
      <c r="E124" s="1" t="n">
        <v>1580</v>
      </c>
      <c r="J124" s="6" t="s">
        <v>30</v>
      </c>
      <c r="K124" s="5" t="s">
        <v>532</v>
      </c>
      <c r="L124" s="3" t="s">
        <v>61</v>
      </c>
      <c r="M124" s="3" t="s">
        <v>555</v>
      </c>
      <c r="N124" s="3" t="s">
        <v>556</v>
      </c>
      <c r="O124" s="3"/>
      <c r="P124" s="3" t="s">
        <v>49</v>
      </c>
      <c r="Q124" s="3" t="s">
        <v>285</v>
      </c>
      <c r="R124" s="3" t="s">
        <v>146</v>
      </c>
      <c r="S124" s="3" t="s">
        <v>147</v>
      </c>
      <c r="T124" s="3" t="s">
        <v>148</v>
      </c>
      <c r="U124" s="3" t="s">
        <v>169</v>
      </c>
      <c r="V124" s="3" t="s">
        <v>170</v>
      </c>
      <c r="W124" s="3" t="n">
        <v>25.5</v>
      </c>
      <c r="X124" s="3" t="n">
        <f aca="false">IF(ISNUMBER(W124),W124*3.412142,"")</f>
        <v>87.009621</v>
      </c>
      <c r="Y124" s="3" t="s">
        <v>262</v>
      </c>
      <c r="Z124" s="4" t="s">
        <v>557</v>
      </c>
      <c r="AB124" s="7"/>
      <c r="AC124" s="7"/>
      <c r="AD124" s="7"/>
      <c r="AE124" s="7"/>
    </row>
    <row r="125" s="1" customFormat="true" ht="15.75" hidden="false" customHeight="true" outlineLevel="0" collapsed="false">
      <c r="A125" s="1" t="s">
        <v>237</v>
      </c>
      <c r="B125" s="1" t="s">
        <v>27</v>
      </c>
      <c r="C125" s="1" t="s">
        <v>558</v>
      </c>
      <c r="D125" s="1" t="s">
        <v>559</v>
      </c>
      <c r="E125" s="1" t="n">
        <v>1210</v>
      </c>
      <c r="J125" s="6" t="s">
        <v>30</v>
      </c>
      <c r="K125" s="9" t="s">
        <v>560</v>
      </c>
      <c r="L125" s="3" t="s">
        <v>46</v>
      </c>
      <c r="M125" s="3" t="s">
        <v>55</v>
      </c>
      <c r="N125" s="3" t="s">
        <v>48</v>
      </c>
      <c r="O125" s="3"/>
      <c r="P125" s="3" t="s">
        <v>49</v>
      </c>
      <c r="Q125" s="3" t="s">
        <v>36</v>
      </c>
      <c r="R125" s="3" t="s">
        <v>37</v>
      </c>
      <c r="S125" s="3" t="s">
        <v>38</v>
      </c>
      <c r="T125" s="3" t="s">
        <v>39</v>
      </c>
      <c r="U125" s="3" t="s">
        <v>40</v>
      </c>
      <c r="V125" s="3" t="s">
        <v>561</v>
      </c>
      <c r="W125" s="3" t="n">
        <v>25</v>
      </c>
      <c r="X125" s="3" t="n">
        <f aca="false">IF(ISNUMBER(W125),W125*3.412142,"")</f>
        <v>85.30355</v>
      </c>
      <c r="Y125" s="3" t="s">
        <v>42</v>
      </c>
      <c r="Z125" s="4" t="s">
        <v>562</v>
      </c>
      <c r="AB125" s="7"/>
      <c r="AC125" s="7"/>
      <c r="AD125" s="7"/>
      <c r="AE125" s="7"/>
    </row>
    <row r="126" s="1" customFormat="true" ht="15.75" hidden="false" customHeight="true" outlineLevel="0" collapsed="false">
      <c r="A126" s="1" t="s">
        <v>237</v>
      </c>
      <c r="B126" s="1" t="s">
        <v>27</v>
      </c>
      <c r="C126" s="1" t="s">
        <v>563</v>
      </c>
      <c r="D126" s="1" t="s">
        <v>564</v>
      </c>
      <c r="E126" s="1" t="n">
        <v>1210</v>
      </c>
      <c r="J126" s="6" t="s">
        <v>30</v>
      </c>
      <c r="K126" s="9" t="s">
        <v>565</v>
      </c>
      <c r="L126" s="3" t="s">
        <v>46</v>
      </c>
      <c r="M126" s="3" t="s">
        <v>122</v>
      </c>
      <c r="N126" s="3" t="s">
        <v>48</v>
      </c>
      <c r="O126" s="3"/>
      <c r="P126" s="3" t="s">
        <v>123</v>
      </c>
      <c r="Q126" s="3" t="s">
        <v>36</v>
      </c>
      <c r="R126" s="3" t="s">
        <v>37</v>
      </c>
      <c r="S126" s="3" t="s">
        <v>38</v>
      </c>
      <c r="T126" s="3" t="s">
        <v>39</v>
      </c>
      <c r="U126" s="3" t="s">
        <v>124</v>
      </c>
      <c r="V126" s="3" t="s">
        <v>125</v>
      </c>
      <c r="W126" s="3" t="n">
        <v>12</v>
      </c>
      <c r="X126" s="3" t="n">
        <f aca="false">IF(ISNUMBER(W126),W126*3.412142,"")</f>
        <v>40.945704</v>
      </c>
      <c r="Y126" s="3" t="s">
        <v>126</v>
      </c>
      <c r="Z126" s="4" t="s">
        <v>566</v>
      </c>
      <c r="AB126" s="7"/>
      <c r="AC126" s="7"/>
      <c r="AD126" s="7"/>
      <c r="AE126" s="7"/>
    </row>
    <row r="127" s="1" customFormat="true" ht="15.75" hidden="false" customHeight="true" outlineLevel="0" collapsed="false">
      <c r="A127" s="1" t="s">
        <v>237</v>
      </c>
      <c r="B127" s="1" t="s">
        <v>27</v>
      </c>
      <c r="C127" s="1" t="s">
        <v>567</v>
      </c>
      <c r="D127" s="1" t="s">
        <v>568</v>
      </c>
      <c r="E127" s="1" t="n">
        <v>1940</v>
      </c>
      <c r="J127" s="6" t="s">
        <v>30</v>
      </c>
      <c r="K127" s="9" t="s">
        <v>569</v>
      </c>
      <c r="L127" s="3" t="s">
        <v>46</v>
      </c>
      <c r="M127" s="3" t="s">
        <v>122</v>
      </c>
      <c r="N127" s="3" t="s">
        <v>48</v>
      </c>
      <c r="O127" s="3"/>
      <c r="P127" s="3" t="s">
        <v>123</v>
      </c>
      <c r="Q127" s="3" t="s">
        <v>36</v>
      </c>
      <c r="R127" s="3" t="s">
        <v>37</v>
      </c>
      <c r="S127" s="3" t="s">
        <v>38</v>
      </c>
      <c r="T127" s="3" t="s">
        <v>39</v>
      </c>
      <c r="U127" s="3" t="s">
        <v>40</v>
      </c>
      <c r="V127" s="3" t="s">
        <v>561</v>
      </c>
      <c r="W127" s="3" t="n">
        <v>25</v>
      </c>
      <c r="X127" s="3" t="n">
        <f aca="false">IF(ISNUMBER(W127),W127*3.412142,"")</f>
        <v>85.30355</v>
      </c>
      <c r="Y127" s="3" t="s">
        <v>42</v>
      </c>
      <c r="Z127" s="4" t="s">
        <v>570</v>
      </c>
      <c r="AB127" s="7"/>
      <c r="AC127" s="7"/>
      <c r="AD127" s="7"/>
      <c r="AE127" s="7"/>
    </row>
    <row r="128" s="1" customFormat="true" ht="15.75" hidden="false" customHeight="true" outlineLevel="0" collapsed="false">
      <c r="A128" s="1" t="s">
        <v>237</v>
      </c>
      <c r="B128" s="1" t="s">
        <v>27</v>
      </c>
      <c r="C128" s="1" t="s">
        <v>571</v>
      </c>
      <c r="D128" s="1" t="s">
        <v>572</v>
      </c>
      <c r="E128" s="1" t="n">
        <v>1210</v>
      </c>
      <c r="J128" s="6" t="s">
        <v>30</v>
      </c>
      <c r="K128" s="9" t="s">
        <v>573</v>
      </c>
      <c r="L128" s="3" t="s">
        <v>141</v>
      </c>
      <c r="M128" s="3" t="s">
        <v>142</v>
      </c>
      <c r="N128" s="3" t="s">
        <v>283</v>
      </c>
      <c r="O128" s="3"/>
      <c r="P128" s="3" t="s">
        <v>284</v>
      </c>
      <c r="Q128" s="3" t="s">
        <v>285</v>
      </c>
      <c r="R128" s="3" t="s">
        <v>146</v>
      </c>
      <c r="S128" s="3" t="s">
        <v>147</v>
      </c>
      <c r="T128" s="3" t="s">
        <v>148</v>
      </c>
      <c r="U128" s="3" t="s">
        <v>124</v>
      </c>
      <c r="V128" s="3" t="s">
        <v>574</v>
      </c>
      <c r="W128" s="3" t="n">
        <v>6</v>
      </c>
      <c r="X128" s="3" t="n">
        <f aca="false">IF(ISNUMBER(W128),W128*3.412142,"")</f>
        <v>20.472852</v>
      </c>
      <c r="Y128" s="3" t="s">
        <v>126</v>
      </c>
      <c r="Z128" s="4"/>
      <c r="AB128" s="7"/>
      <c r="AC128" s="7"/>
      <c r="AD128" s="7"/>
      <c r="AE128" s="7"/>
    </row>
    <row r="129" s="1" customFormat="true" ht="15.75" hidden="false" customHeight="true" outlineLevel="0" collapsed="false">
      <c r="A129" s="1" t="s">
        <v>237</v>
      </c>
      <c r="B129" s="1" t="s">
        <v>27</v>
      </c>
      <c r="C129" s="1" t="s">
        <v>575</v>
      </c>
      <c r="D129" s="1" t="s">
        <v>576</v>
      </c>
      <c r="E129" s="1" t="n">
        <v>1540</v>
      </c>
      <c r="J129" s="6" t="s">
        <v>30</v>
      </c>
      <c r="K129" s="9" t="s">
        <v>577</v>
      </c>
      <c r="L129" s="3" t="s">
        <v>141</v>
      </c>
      <c r="M129" s="3" t="s">
        <v>282</v>
      </c>
      <c r="N129" s="3" t="s">
        <v>283</v>
      </c>
      <c r="O129" s="3"/>
      <c r="P129" s="3" t="s">
        <v>284</v>
      </c>
      <c r="Q129" s="3" t="s">
        <v>285</v>
      </c>
      <c r="R129" s="3" t="s">
        <v>146</v>
      </c>
      <c r="S129" s="3" t="s">
        <v>147</v>
      </c>
      <c r="T129" s="3" t="s">
        <v>148</v>
      </c>
      <c r="U129" s="3" t="s">
        <v>124</v>
      </c>
      <c r="V129" s="3" t="s">
        <v>574</v>
      </c>
      <c r="W129" s="3" t="n">
        <v>6</v>
      </c>
      <c r="X129" s="3" t="n">
        <f aca="false">IF(ISNUMBER(W129),W129*3.412142,"")</f>
        <v>20.472852</v>
      </c>
      <c r="Y129" s="3" t="s">
        <v>126</v>
      </c>
      <c r="Z129" s="4" t="s">
        <v>578</v>
      </c>
      <c r="AB129" s="7"/>
      <c r="AC129" s="7"/>
      <c r="AD129" s="7"/>
      <c r="AE129" s="7"/>
    </row>
    <row r="130" s="1" customFormat="true" ht="15.75" hidden="false" customHeight="true" outlineLevel="0" collapsed="false">
      <c r="A130" s="1" t="s">
        <v>237</v>
      </c>
      <c r="B130" s="1" t="s">
        <v>27</v>
      </c>
      <c r="C130" s="1" t="s">
        <v>579</v>
      </c>
      <c r="D130" s="1" t="s">
        <v>580</v>
      </c>
      <c r="E130" s="1" t="n">
        <v>1450</v>
      </c>
      <c r="J130" s="6" t="s">
        <v>30</v>
      </c>
      <c r="K130" s="9" t="s">
        <v>577</v>
      </c>
      <c r="L130" s="3" t="s">
        <v>141</v>
      </c>
      <c r="M130" s="3" t="s">
        <v>282</v>
      </c>
      <c r="N130" s="3" t="s">
        <v>283</v>
      </c>
      <c r="O130" s="3"/>
      <c r="P130" s="3" t="s">
        <v>284</v>
      </c>
      <c r="Q130" s="3" t="s">
        <v>285</v>
      </c>
      <c r="R130" s="3" t="s">
        <v>146</v>
      </c>
      <c r="S130" s="3" t="s">
        <v>147</v>
      </c>
      <c r="T130" s="3" t="s">
        <v>148</v>
      </c>
      <c r="U130" s="3" t="s">
        <v>124</v>
      </c>
      <c r="V130" s="3" t="s">
        <v>574</v>
      </c>
      <c r="W130" s="3" t="n">
        <v>6</v>
      </c>
      <c r="X130" s="3" t="n">
        <f aca="false">IF(ISNUMBER(W130),W130*3.412142,"")</f>
        <v>20.472852</v>
      </c>
      <c r="Y130" s="3" t="s">
        <v>126</v>
      </c>
      <c r="Z130" s="4"/>
      <c r="AB130" s="7"/>
      <c r="AC130" s="7"/>
      <c r="AD130" s="7"/>
      <c r="AE130" s="7"/>
    </row>
    <row r="131" s="1" customFormat="true" ht="15.75" hidden="false" customHeight="true" outlineLevel="0" collapsed="false">
      <c r="A131" s="1" t="s">
        <v>237</v>
      </c>
      <c r="B131" s="1" t="s">
        <v>27</v>
      </c>
      <c r="C131" s="1" t="s">
        <v>581</v>
      </c>
      <c r="D131" s="1" t="s">
        <v>582</v>
      </c>
      <c r="E131" s="1" t="n">
        <v>1780</v>
      </c>
      <c r="J131" s="6" t="s">
        <v>30</v>
      </c>
      <c r="K131" s="9" t="s">
        <v>577</v>
      </c>
      <c r="L131" s="3" t="s">
        <v>141</v>
      </c>
      <c r="M131" s="3" t="s">
        <v>282</v>
      </c>
      <c r="N131" s="3" t="s">
        <v>283</v>
      </c>
      <c r="O131" s="3"/>
      <c r="P131" s="3" t="s">
        <v>284</v>
      </c>
      <c r="Q131" s="3" t="s">
        <v>285</v>
      </c>
      <c r="R131" s="3" t="s">
        <v>146</v>
      </c>
      <c r="S131" s="3" t="s">
        <v>147</v>
      </c>
      <c r="T131" s="3" t="s">
        <v>148</v>
      </c>
      <c r="U131" s="3" t="s">
        <v>124</v>
      </c>
      <c r="V131" s="3" t="s">
        <v>574</v>
      </c>
      <c r="W131" s="3" t="n">
        <v>6</v>
      </c>
      <c r="X131" s="3" t="n">
        <f aca="false">IF(ISNUMBER(W131),W131*3.412142,"")</f>
        <v>20.472852</v>
      </c>
      <c r="Y131" s="3" t="s">
        <v>126</v>
      </c>
      <c r="Z131" s="4"/>
      <c r="AB131" s="7"/>
      <c r="AC131" s="7"/>
      <c r="AD131" s="7"/>
      <c r="AE131" s="7"/>
    </row>
    <row r="132" s="1" customFormat="true" ht="15.75" hidden="false" customHeight="true" outlineLevel="0" collapsed="false">
      <c r="A132" s="1" t="s">
        <v>237</v>
      </c>
      <c r="B132" s="1" t="s">
        <v>27</v>
      </c>
      <c r="C132" s="1" t="s">
        <v>583</v>
      </c>
      <c r="D132" s="1" t="s">
        <v>584</v>
      </c>
      <c r="E132" s="1" t="n">
        <v>2300</v>
      </c>
      <c r="J132" s="6" t="s">
        <v>30</v>
      </c>
      <c r="K132" s="9" t="s">
        <v>585</v>
      </c>
      <c r="L132" s="3" t="s">
        <v>141</v>
      </c>
      <c r="M132" s="3" t="s">
        <v>282</v>
      </c>
      <c r="N132" s="3" t="s">
        <v>283</v>
      </c>
      <c r="O132" s="3"/>
      <c r="P132" s="3" t="s">
        <v>284</v>
      </c>
      <c r="Q132" s="3" t="s">
        <v>285</v>
      </c>
      <c r="R132" s="3" t="s">
        <v>146</v>
      </c>
      <c r="S132" s="3" t="s">
        <v>147</v>
      </c>
      <c r="T132" s="3" t="s">
        <v>148</v>
      </c>
      <c r="U132" s="3" t="s">
        <v>124</v>
      </c>
      <c r="V132" s="3" t="s">
        <v>574</v>
      </c>
      <c r="W132" s="3" t="n">
        <v>6</v>
      </c>
      <c r="X132" s="3" t="n">
        <f aca="false">IF(ISNUMBER(W132),W132*3.412142,"")</f>
        <v>20.472852</v>
      </c>
      <c r="Y132" s="3" t="s">
        <v>126</v>
      </c>
      <c r="Z132" s="4"/>
      <c r="AB132" s="7"/>
      <c r="AC132" s="7"/>
      <c r="AD132" s="7"/>
      <c r="AE132" s="7"/>
    </row>
    <row r="133" s="1" customFormat="true" ht="15.75" hidden="false" customHeight="true" outlineLevel="0" collapsed="false">
      <c r="A133" s="1" t="s">
        <v>237</v>
      </c>
      <c r="B133" s="1" t="s">
        <v>27</v>
      </c>
      <c r="C133" s="1" t="s">
        <v>586</v>
      </c>
      <c r="D133" s="1" t="s">
        <v>587</v>
      </c>
      <c r="E133" s="1" t="n">
        <v>870</v>
      </c>
      <c r="J133" s="6" t="s">
        <v>30</v>
      </c>
      <c r="K133" s="9" t="s">
        <v>588</v>
      </c>
      <c r="L133" s="3" t="s">
        <v>141</v>
      </c>
      <c r="M133" s="3" t="s">
        <v>282</v>
      </c>
      <c r="N133" s="3" t="s">
        <v>283</v>
      </c>
      <c r="O133" s="3"/>
      <c r="P133" s="3" t="s">
        <v>284</v>
      </c>
      <c r="Q133" s="3" t="s">
        <v>285</v>
      </c>
      <c r="R133" s="3" t="s">
        <v>146</v>
      </c>
      <c r="S133" s="3" t="s">
        <v>147</v>
      </c>
      <c r="T133" s="3" t="s">
        <v>148</v>
      </c>
      <c r="U133" s="3" t="s">
        <v>124</v>
      </c>
      <c r="V133" s="3" t="s">
        <v>574</v>
      </c>
      <c r="W133" s="3" t="n">
        <v>6</v>
      </c>
      <c r="X133" s="3" t="n">
        <f aca="false">IF(ISNUMBER(W133),W133*3.412142,"")</f>
        <v>20.472852</v>
      </c>
      <c r="Y133" s="3" t="s">
        <v>126</v>
      </c>
      <c r="Z133" s="4" t="s">
        <v>589</v>
      </c>
      <c r="AB133" s="7"/>
      <c r="AC133" s="7"/>
      <c r="AD133" s="7"/>
      <c r="AE133" s="7"/>
    </row>
    <row r="134" s="1" customFormat="true" ht="15.75" hidden="false" customHeight="true" outlineLevel="0" collapsed="false">
      <c r="A134" s="1" t="s">
        <v>213</v>
      </c>
      <c r="B134" s="1" t="s">
        <v>27</v>
      </c>
      <c r="C134" s="1" t="s">
        <v>590</v>
      </c>
      <c r="D134" s="1" t="s">
        <v>591</v>
      </c>
      <c r="E134" s="1" t="n">
        <v>2720</v>
      </c>
      <c r="J134" s="6" t="s">
        <v>30</v>
      </c>
      <c r="K134" s="9" t="s">
        <v>592</v>
      </c>
      <c r="L134" s="3" t="s">
        <v>54</v>
      </c>
      <c r="M134" s="3" t="s">
        <v>62</v>
      </c>
      <c r="N134" s="3" t="s">
        <v>110</v>
      </c>
      <c r="O134" s="3"/>
      <c r="P134" s="3" t="s">
        <v>217</v>
      </c>
      <c r="Q134" s="3" t="s">
        <v>65</v>
      </c>
      <c r="R134" s="3" t="s">
        <v>66</v>
      </c>
      <c r="S134" s="3" t="s">
        <v>67</v>
      </c>
      <c r="T134" s="3" t="s">
        <v>39</v>
      </c>
      <c r="U134" s="3" t="s">
        <v>40</v>
      </c>
      <c r="V134" s="3" t="s">
        <v>593</v>
      </c>
      <c r="W134" s="3" t="n">
        <v>300</v>
      </c>
      <c r="X134" s="3" t="n">
        <f aca="false">IF(ISNUMBER(W134),W134*3.412142,"")</f>
        <v>1023.6426</v>
      </c>
      <c r="Y134" s="3" t="s">
        <v>42</v>
      </c>
      <c r="Z134" s="4"/>
      <c r="AB134" s="7"/>
      <c r="AC134" s="7"/>
      <c r="AD134" s="7"/>
      <c r="AE134" s="7"/>
    </row>
    <row r="135" s="1" customFormat="true" ht="15.75" hidden="false" customHeight="true" outlineLevel="0" collapsed="false">
      <c r="A135" s="1" t="s">
        <v>213</v>
      </c>
      <c r="B135" s="1" t="s">
        <v>27</v>
      </c>
      <c r="C135" s="1" t="s">
        <v>594</v>
      </c>
      <c r="D135" s="1" t="s">
        <v>595</v>
      </c>
      <c r="E135" s="1" t="n">
        <v>3980</v>
      </c>
      <c r="J135" s="6" t="s">
        <v>30</v>
      </c>
      <c r="K135" s="9" t="s">
        <v>596</v>
      </c>
      <c r="L135" s="3" t="s">
        <v>54</v>
      </c>
      <c r="M135" s="3" t="s">
        <v>62</v>
      </c>
      <c r="N135" s="3" t="s">
        <v>110</v>
      </c>
      <c r="O135" s="3"/>
      <c r="P135" s="3" t="s">
        <v>217</v>
      </c>
      <c r="Q135" s="3" t="s">
        <v>65</v>
      </c>
      <c r="R135" s="3" t="s">
        <v>66</v>
      </c>
      <c r="S135" s="3" t="s">
        <v>67</v>
      </c>
      <c r="T135" s="3" t="s">
        <v>39</v>
      </c>
      <c r="U135" s="3" t="s">
        <v>40</v>
      </c>
      <c r="V135" s="3" t="s">
        <v>593</v>
      </c>
      <c r="W135" s="3" t="n">
        <v>300</v>
      </c>
      <c r="X135" s="3" t="n">
        <f aca="false">IF(ISNUMBER(W135),W135*3.412142,"")</f>
        <v>1023.6426</v>
      </c>
      <c r="Y135" s="3" t="s">
        <v>42</v>
      </c>
      <c r="Z135" s="4"/>
      <c r="AB135" s="7"/>
      <c r="AC135" s="7"/>
      <c r="AD135" s="7"/>
      <c r="AE135" s="7"/>
    </row>
    <row r="136" s="1" customFormat="true" ht="15.75" hidden="false" customHeight="true" outlineLevel="0" collapsed="false">
      <c r="A136" s="1" t="s">
        <v>213</v>
      </c>
      <c r="B136" s="1" t="s">
        <v>27</v>
      </c>
      <c r="C136" s="1" t="s">
        <v>597</v>
      </c>
      <c r="D136" s="1" t="s">
        <v>598</v>
      </c>
      <c r="E136" s="1" t="n">
        <v>3770</v>
      </c>
      <c r="J136" s="6" t="s">
        <v>30</v>
      </c>
      <c r="K136" s="9" t="s">
        <v>599</v>
      </c>
      <c r="L136" s="3" t="s">
        <v>54</v>
      </c>
      <c r="M136" s="3" t="s">
        <v>62</v>
      </c>
      <c r="N136" s="3" t="s">
        <v>110</v>
      </c>
      <c r="O136" s="3"/>
      <c r="P136" s="3" t="s">
        <v>217</v>
      </c>
      <c r="Q136" s="3" t="s">
        <v>65</v>
      </c>
      <c r="R136" s="3" t="s">
        <v>66</v>
      </c>
      <c r="S136" s="3" t="s">
        <v>67</v>
      </c>
      <c r="T136" s="3" t="s">
        <v>39</v>
      </c>
      <c r="U136" s="3" t="s">
        <v>40</v>
      </c>
      <c r="V136" s="3" t="s">
        <v>600</v>
      </c>
      <c r="W136" s="3" t="n">
        <v>500</v>
      </c>
      <c r="X136" s="3" t="n">
        <f aca="false">IF(ISNUMBER(W136),W136*3.412142,"")</f>
        <v>1706.071</v>
      </c>
      <c r="Y136" s="3" t="s">
        <v>42</v>
      </c>
      <c r="Z136" s="4"/>
      <c r="AB136" s="7"/>
      <c r="AC136" s="7"/>
      <c r="AD136" s="7"/>
      <c r="AE136" s="7"/>
    </row>
    <row r="137" s="1" customFormat="true" ht="15.75" hidden="false" customHeight="true" outlineLevel="0" collapsed="false">
      <c r="A137" s="1" t="s">
        <v>213</v>
      </c>
      <c r="B137" s="1" t="s">
        <v>27</v>
      </c>
      <c r="C137" s="1" t="s">
        <v>601</v>
      </c>
      <c r="D137" s="1" t="s">
        <v>602</v>
      </c>
      <c r="E137" s="1" t="n">
        <v>1820</v>
      </c>
      <c r="J137" s="6" t="s">
        <v>30</v>
      </c>
      <c r="K137" s="9" t="s">
        <v>603</v>
      </c>
      <c r="L137" s="3" t="s">
        <v>54</v>
      </c>
      <c r="M137" s="3" t="s">
        <v>62</v>
      </c>
      <c r="N137" s="3" t="s">
        <v>110</v>
      </c>
      <c r="O137" s="3"/>
      <c r="P137" s="3" t="s">
        <v>217</v>
      </c>
      <c r="Q137" s="3" t="s">
        <v>65</v>
      </c>
      <c r="R137" s="3" t="s">
        <v>66</v>
      </c>
      <c r="S137" s="3" t="s">
        <v>67</v>
      </c>
      <c r="T137" s="3" t="s">
        <v>39</v>
      </c>
      <c r="U137" s="3" t="s">
        <v>40</v>
      </c>
      <c r="V137" s="3" t="s">
        <v>218</v>
      </c>
      <c r="W137" s="3" t="n">
        <v>150</v>
      </c>
      <c r="X137" s="3" t="n">
        <f aca="false">IF(ISNUMBER(W137),W137*3.412142,"")</f>
        <v>511.8213</v>
      </c>
      <c r="Y137" s="3" t="s">
        <v>42</v>
      </c>
      <c r="Z137" s="4"/>
      <c r="AB137" s="7"/>
      <c r="AC137" s="7"/>
      <c r="AD137" s="7"/>
      <c r="AE137" s="7"/>
    </row>
    <row r="138" s="1" customFormat="true" ht="15.75" hidden="false" customHeight="true" outlineLevel="0" collapsed="false">
      <c r="A138" s="1" t="s">
        <v>213</v>
      </c>
      <c r="B138" s="1" t="s">
        <v>27</v>
      </c>
      <c r="C138" s="1" t="s">
        <v>604</v>
      </c>
      <c r="D138" s="1" t="s">
        <v>605</v>
      </c>
      <c r="E138" s="1" t="n">
        <v>2110</v>
      </c>
      <c r="J138" s="6" t="s">
        <v>30</v>
      </c>
      <c r="K138" s="9" t="s">
        <v>606</v>
      </c>
      <c r="L138" s="3" t="s">
        <v>54</v>
      </c>
      <c r="M138" s="3" t="s">
        <v>62</v>
      </c>
      <c r="N138" s="3" t="s">
        <v>110</v>
      </c>
      <c r="O138" s="3"/>
      <c r="P138" s="3" t="s">
        <v>217</v>
      </c>
      <c r="Q138" s="3" t="s">
        <v>65</v>
      </c>
      <c r="R138" s="3" t="s">
        <v>66</v>
      </c>
      <c r="S138" s="3" t="s">
        <v>67</v>
      </c>
      <c r="T138" s="3" t="s">
        <v>39</v>
      </c>
      <c r="U138" s="3" t="s">
        <v>40</v>
      </c>
      <c r="V138" s="3" t="s">
        <v>607</v>
      </c>
      <c r="W138" s="3" t="n">
        <v>90</v>
      </c>
      <c r="X138" s="3" t="n">
        <f aca="false">IF(ISNUMBER(W138),W138*3.412142,"")</f>
        <v>307.09278</v>
      </c>
      <c r="Y138" s="3" t="s">
        <v>42</v>
      </c>
      <c r="Z138" s="4"/>
      <c r="AB138" s="7"/>
      <c r="AC138" s="7"/>
      <c r="AD138" s="7"/>
      <c r="AE138" s="7"/>
    </row>
    <row r="139" s="1" customFormat="true" ht="15.75" hidden="false" customHeight="true" outlineLevel="0" collapsed="false">
      <c r="A139" s="1" t="s">
        <v>213</v>
      </c>
      <c r="B139" s="1" t="s">
        <v>27</v>
      </c>
      <c r="C139" s="1" t="s">
        <v>608</v>
      </c>
      <c r="D139" s="1" t="s">
        <v>609</v>
      </c>
      <c r="E139" s="1" t="n">
        <v>2300</v>
      </c>
      <c r="J139" s="6" t="s">
        <v>30</v>
      </c>
      <c r="K139" s="9" t="s">
        <v>610</v>
      </c>
      <c r="L139" s="3" t="s">
        <v>54</v>
      </c>
      <c r="M139" s="3" t="s">
        <v>62</v>
      </c>
      <c r="N139" s="3" t="s">
        <v>110</v>
      </c>
      <c r="O139" s="3"/>
      <c r="P139" s="3" t="s">
        <v>217</v>
      </c>
      <c r="Q139" s="3" t="s">
        <v>65</v>
      </c>
      <c r="R139" s="3" t="s">
        <v>66</v>
      </c>
      <c r="S139" s="3" t="s">
        <v>67</v>
      </c>
      <c r="T139" s="3" t="s">
        <v>39</v>
      </c>
      <c r="U139" s="3" t="s">
        <v>40</v>
      </c>
      <c r="V139" s="3" t="s">
        <v>607</v>
      </c>
      <c r="W139" s="3" t="n">
        <v>90</v>
      </c>
      <c r="X139" s="3" t="n">
        <f aca="false">IF(ISNUMBER(W139),W139*3.412142,"")</f>
        <v>307.09278</v>
      </c>
      <c r="Y139" s="3" t="s">
        <v>42</v>
      </c>
      <c r="Z139" s="4" t="s">
        <v>611</v>
      </c>
      <c r="AB139" s="7"/>
      <c r="AC139" s="7"/>
      <c r="AD139" s="7"/>
      <c r="AE139" s="7"/>
    </row>
    <row r="140" s="1" customFormat="true" ht="15.75" hidden="false" customHeight="true" outlineLevel="0" collapsed="false">
      <c r="A140" s="1" t="s">
        <v>213</v>
      </c>
      <c r="B140" s="1" t="s">
        <v>27</v>
      </c>
      <c r="C140" s="1" t="s">
        <v>612</v>
      </c>
      <c r="D140" s="1" t="s">
        <v>613</v>
      </c>
      <c r="E140" s="1" t="n">
        <v>2420</v>
      </c>
      <c r="J140" s="6" t="s">
        <v>30</v>
      </c>
      <c r="K140" s="9" t="s">
        <v>606</v>
      </c>
      <c r="L140" s="3" t="s">
        <v>54</v>
      </c>
      <c r="M140" s="3" t="s">
        <v>62</v>
      </c>
      <c r="N140" s="3" t="s">
        <v>110</v>
      </c>
      <c r="O140" s="3"/>
      <c r="P140" s="3" t="s">
        <v>217</v>
      </c>
      <c r="Q140" s="3" t="s">
        <v>65</v>
      </c>
      <c r="R140" s="3" t="s">
        <v>66</v>
      </c>
      <c r="S140" s="3" t="s">
        <v>67</v>
      </c>
      <c r="T140" s="3" t="s">
        <v>39</v>
      </c>
      <c r="U140" s="3" t="s">
        <v>40</v>
      </c>
      <c r="V140" s="3" t="s">
        <v>614</v>
      </c>
      <c r="W140" s="3" t="n">
        <v>120</v>
      </c>
      <c r="X140" s="3" t="n">
        <f aca="false">IF(ISNUMBER(W140),W140*3.412142,"")</f>
        <v>409.45704</v>
      </c>
      <c r="Y140" s="3" t="s">
        <v>42</v>
      </c>
      <c r="Z140" s="4"/>
      <c r="AB140" s="7"/>
      <c r="AC140" s="7"/>
      <c r="AD140" s="7"/>
      <c r="AE140" s="7"/>
    </row>
    <row r="141" s="1" customFormat="true" ht="15.75" hidden="false" customHeight="true" outlineLevel="0" collapsed="false">
      <c r="A141" s="1" t="s">
        <v>213</v>
      </c>
      <c r="B141" s="1" t="s">
        <v>27</v>
      </c>
      <c r="C141" s="1" t="s">
        <v>615</v>
      </c>
      <c r="D141" s="1" t="s">
        <v>616</v>
      </c>
      <c r="E141" s="1" t="n">
        <v>910</v>
      </c>
      <c r="J141" s="6" t="s">
        <v>30</v>
      </c>
      <c r="K141" s="9" t="s">
        <v>617</v>
      </c>
      <c r="L141" s="3" t="s">
        <v>54</v>
      </c>
      <c r="M141" s="3" t="s">
        <v>62</v>
      </c>
      <c r="N141" s="3" t="s">
        <v>110</v>
      </c>
      <c r="O141" s="3"/>
      <c r="P141" s="3" t="s">
        <v>217</v>
      </c>
      <c r="Q141" s="3" t="s">
        <v>65</v>
      </c>
      <c r="R141" s="3" t="s">
        <v>66</v>
      </c>
      <c r="S141" s="3" t="s">
        <v>67</v>
      </c>
      <c r="T141" s="3" t="s">
        <v>39</v>
      </c>
      <c r="U141" s="3" t="s">
        <v>40</v>
      </c>
      <c r="V141" s="3" t="s">
        <v>618</v>
      </c>
      <c r="W141" s="3" t="n">
        <v>180</v>
      </c>
      <c r="X141" s="3" t="n">
        <f aca="false">IF(ISNUMBER(W141),W141*3.412142,"")</f>
        <v>614.18556</v>
      </c>
      <c r="Y141" s="3" t="s">
        <v>42</v>
      </c>
      <c r="Z141" s="4"/>
      <c r="AB141" s="7"/>
      <c r="AC141" s="7"/>
      <c r="AD141" s="7"/>
      <c r="AE141" s="7"/>
    </row>
    <row r="142" s="1" customFormat="true" ht="15.75" hidden="false" customHeight="true" outlineLevel="0" collapsed="false">
      <c r="A142" s="1" t="s">
        <v>213</v>
      </c>
      <c r="B142" s="1" t="s">
        <v>27</v>
      </c>
      <c r="C142" s="1" t="s">
        <v>619</v>
      </c>
      <c r="D142" s="1" t="s">
        <v>620</v>
      </c>
      <c r="E142" s="1" t="n">
        <v>1260</v>
      </c>
      <c r="J142" s="6" t="s">
        <v>30</v>
      </c>
      <c r="K142" s="9" t="s">
        <v>621</v>
      </c>
      <c r="L142" s="3" t="s">
        <v>54</v>
      </c>
      <c r="M142" s="3" t="s">
        <v>62</v>
      </c>
      <c r="N142" s="3" t="s">
        <v>110</v>
      </c>
      <c r="O142" s="3"/>
      <c r="P142" s="3" t="s">
        <v>217</v>
      </c>
      <c r="Q142" s="3" t="s">
        <v>65</v>
      </c>
      <c r="R142" s="3" t="s">
        <v>66</v>
      </c>
      <c r="S142" s="3" t="s">
        <v>67</v>
      </c>
      <c r="T142" s="3" t="s">
        <v>39</v>
      </c>
      <c r="U142" s="3" t="s">
        <v>40</v>
      </c>
      <c r="V142" s="3" t="s">
        <v>618</v>
      </c>
      <c r="W142" s="3" t="n">
        <v>180</v>
      </c>
      <c r="X142" s="3" t="n">
        <f aca="false">IF(ISNUMBER(W142),W142*3.412142,"")</f>
        <v>614.18556</v>
      </c>
      <c r="Y142" s="3" t="s">
        <v>42</v>
      </c>
      <c r="Z142" s="4"/>
      <c r="AB142" s="7"/>
      <c r="AC142" s="7"/>
      <c r="AD142" s="7"/>
      <c r="AE142" s="7"/>
    </row>
    <row r="143" s="1" customFormat="true" ht="15.75" hidden="false" customHeight="true" outlineLevel="0" collapsed="false">
      <c r="A143" s="1" t="s">
        <v>213</v>
      </c>
      <c r="B143" s="1" t="s">
        <v>27</v>
      </c>
      <c r="C143" s="1" t="s">
        <v>622</v>
      </c>
      <c r="D143" s="1" t="s">
        <v>623</v>
      </c>
      <c r="E143" s="1" t="n">
        <v>490</v>
      </c>
      <c r="J143" s="6" t="s">
        <v>30</v>
      </c>
      <c r="K143" s="9" t="s">
        <v>624</v>
      </c>
      <c r="L143" s="3" t="s">
        <v>46</v>
      </c>
      <c r="M143" s="3" t="s">
        <v>55</v>
      </c>
      <c r="N143" s="3" t="s">
        <v>48</v>
      </c>
      <c r="O143" s="3"/>
      <c r="P143" s="3" t="s">
        <v>49</v>
      </c>
      <c r="Q143" s="3" t="s">
        <v>36</v>
      </c>
      <c r="R143" s="3" t="s">
        <v>37</v>
      </c>
      <c r="S143" s="3" t="s">
        <v>38</v>
      </c>
      <c r="T143" s="3" t="s">
        <v>39</v>
      </c>
      <c r="U143" s="3" t="s">
        <v>124</v>
      </c>
      <c r="V143" s="3" t="s">
        <v>625</v>
      </c>
      <c r="W143" s="3" t="n">
        <v>36</v>
      </c>
      <c r="X143" s="3" t="n">
        <f aca="false">IF(ISNUMBER(W143),W143*3.412142,"")</f>
        <v>122.837112</v>
      </c>
      <c r="Y143" s="3" t="s">
        <v>126</v>
      </c>
      <c r="Z143" s="4"/>
      <c r="AB143" s="7"/>
      <c r="AC143" s="7"/>
      <c r="AD143" s="7"/>
      <c r="AE143" s="7"/>
    </row>
    <row r="144" s="1" customFormat="true" ht="15.75" hidden="false" customHeight="true" outlineLevel="0" collapsed="false">
      <c r="A144" s="1" t="s">
        <v>213</v>
      </c>
      <c r="B144" s="1" t="s">
        <v>27</v>
      </c>
      <c r="C144" s="1" t="s">
        <v>626</v>
      </c>
      <c r="D144" s="1" t="s">
        <v>627</v>
      </c>
      <c r="E144" s="1" t="n">
        <v>620</v>
      </c>
      <c r="J144" s="6" t="s">
        <v>30</v>
      </c>
      <c r="K144" s="9" t="s">
        <v>628</v>
      </c>
      <c r="L144" s="3" t="s">
        <v>46</v>
      </c>
      <c r="M144" s="3" t="s">
        <v>55</v>
      </c>
      <c r="N144" s="3" t="s">
        <v>48</v>
      </c>
      <c r="O144" s="3"/>
      <c r="P144" s="3" t="s">
        <v>35</v>
      </c>
      <c r="Q144" s="3" t="s">
        <v>36</v>
      </c>
      <c r="R144" s="3" t="s">
        <v>37</v>
      </c>
      <c r="S144" s="3" t="s">
        <v>38</v>
      </c>
      <c r="T144" s="3" t="s">
        <v>39</v>
      </c>
      <c r="U144" s="3" t="s">
        <v>40</v>
      </c>
      <c r="V144" s="3" t="s">
        <v>614</v>
      </c>
      <c r="W144" s="3" t="n">
        <v>120</v>
      </c>
      <c r="X144" s="3" t="n">
        <f aca="false">IF(ISNUMBER(W144),W144*3.412142,"")</f>
        <v>409.45704</v>
      </c>
      <c r="Y144" s="3" t="s">
        <v>42</v>
      </c>
      <c r="Z144" s="4" t="s">
        <v>629</v>
      </c>
      <c r="AB144" s="7"/>
      <c r="AC144" s="7"/>
      <c r="AD144" s="7"/>
      <c r="AE144" s="7"/>
    </row>
    <row r="145" s="1" customFormat="true" ht="15.75" hidden="false" customHeight="true" outlineLevel="0" collapsed="false">
      <c r="A145" s="1" t="s">
        <v>213</v>
      </c>
      <c r="B145" s="1" t="s">
        <v>27</v>
      </c>
      <c r="C145" s="1" t="s">
        <v>630</v>
      </c>
      <c r="D145" s="1" t="s">
        <v>631</v>
      </c>
      <c r="E145" s="1" t="n">
        <v>1450</v>
      </c>
      <c r="J145" s="6" t="s">
        <v>30</v>
      </c>
      <c r="K145" s="9" t="s">
        <v>632</v>
      </c>
      <c r="L145" s="3" t="s">
        <v>54</v>
      </c>
      <c r="M145" s="3" t="s">
        <v>62</v>
      </c>
      <c r="N145" s="3" t="s">
        <v>110</v>
      </c>
      <c r="O145" s="3"/>
      <c r="P145" s="3" t="s">
        <v>217</v>
      </c>
      <c r="Q145" s="3" t="s">
        <v>65</v>
      </c>
      <c r="R145" s="3" t="s">
        <v>66</v>
      </c>
      <c r="S145" s="3" t="s">
        <v>67</v>
      </c>
      <c r="T145" s="3" t="s">
        <v>39</v>
      </c>
      <c r="U145" s="3" t="s">
        <v>40</v>
      </c>
      <c r="V145" s="3" t="s">
        <v>618</v>
      </c>
      <c r="W145" s="3" t="n">
        <v>180</v>
      </c>
      <c r="X145" s="3" t="n">
        <f aca="false">IF(ISNUMBER(W145),W145*3.412142,"")</f>
        <v>614.18556</v>
      </c>
      <c r="Y145" s="3" t="s">
        <v>42</v>
      </c>
      <c r="Z145" s="4"/>
      <c r="AB145" s="7"/>
      <c r="AC145" s="7"/>
      <c r="AD145" s="7"/>
      <c r="AE145" s="7"/>
    </row>
    <row r="146" s="1" customFormat="true" ht="15.75" hidden="false" customHeight="true" outlineLevel="0" collapsed="false">
      <c r="A146" s="1" t="s">
        <v>213</v>
      </c>
      <c r="B146" s="1" t="s">
        <v>27</v>
      </c>
      <c r="C146" s="1" t="s">
        <v>633</v>
      </c>
      <c r="D146" s="1" t="s">
        <v>634</v>
      </c>
      <c r="E146" s="1" t="n">
        <v>1080</v>
      </c>
      <c r="J146" s="6" t="s">
        <v>30</v>
      </c>
      <c r="K146" s="9" t="s">
        <v>635</v>
      </c>
      <c r="L146" s="3" t="s">
        <v>54</v>
      </c>
      <c r="M146" s="3" t="s">
        <v>62</v>
      </c>
      <c r="N146" s="3" t="s">
        <v>110</v>
      </c>
      <c r="O146" s="3"/>
      <c r="P146" s="3" t="s">
        <v>217</v>
      </c>
      <c r="Q146" s="3" t="s">
        <v>65</v>
      </c>
      <c r="R146" s="3" t="s">
        <v>66</v>
      </c>
      <c r="S146" s="3" t="s">
        <v>67</v>
      </c>
      <c r="T146" s="3" t="s">
        <v>39</v>
      </c>
      <c r="U146" s="3" t="s">
        <v>40</v>
      </c>
      <c r="V146" s="3" t="s">
        <v>593</v>
      </c>
      <c r="W146" s="3" t="n">
        <v>300</v>
      </c>
      <c r="X146" s="3" t="n">
        <f aca="false">IF(ISNUMBER(W146),W146*3.412142,"")</f>
        <v>1023.6426</v>
      </c>
      <c r="Y146" s="3" t="s">
        <v>42</v>
      </c>
      <c r="Z146" s="4"/>
      <c r="AB146" s="7"/>
      <c r="AC146" s="7"/>
      <c r="AD146" s="7"/>
      <c r="AE146" s="7"/>
    </row>
    <row r="147" s="1" customFormat="true" ht="15.75" hidden="false" customHeight="true" outlineLevel="0" collapsed="false">
      <c r="A147" s="1" t="s">
        <v>213</v>
      </c>
      <c r="B147" s="1" t="s">
        <v>27</v>
      </c>
      <c r="C147" s="1" t="s">
        <v>636</v>
      </c>
      <c r="D147" s="1" t="s">
        <v>637</v>
      </c>
      <c r="E147" s="1" t="n">
        <v>740</v>
      </c>
      <c r="J147" s="6" t="s">
        <v>30</v>
      </c>
      <c r="K147" s="9" t="s">
        <v>635</v>
      </c>
      <c r="L147" s="3" t="s">
        <v>54</v>
      </c>
      <c r="M147" s="3" t="s">
        <v>62</v>
      </c>
      <c r="N147" s="3" t="s">
        <v>110</v>
      </c>
      <c r="O147" s="3"/>
      <c r="P147" s="3" t="s">
        <v>217</v>
      </c>
      <c r="Q147" s="3" t="s">
        <v>65</v>
      </c>
      <c r="R147" s="3" t="s">
        <v>66</v>
      </c>
      <c r="S147" s="3" t="s">
        <v>67</v>
      </c>
      <c r="T147" s="3" t="s">
        <v>39</v>
      </c>
      <c r="U147" s="3" t="s">
        <v>40</v>
      </c>
      <c r="V147" s="3" t="s">
        <v>618</v>
      </c>
      <c r="W147" s="3" t="n">
        <v>180</v>
      </c>
      <c r="X147" s="3" t="n">
        <f aca="false">IF(ISNUMBER(W147),W147*3.412142,"")</f>
        <v>614.18556</v>
      </c>
      <c r="Y147" s="3" t="s">
        <v>42</v>
      </c>
      <c r="Z147" s="4"/>
      <c r="AB147" s="7"/>
      <c r="AC147" s="7"/>
      <c r="AD147" s="7"/>
      <c r="AE147" s="7"/>
    </row>
    <row r="148" s="1" customFormat="true" ht="15.75" hidden="false" customHeight="true" outlineLevel="0" collapsed="false">
      <c r="A148" s="1" t="s">
        <v>213</v>
      </c>
      <c r="B148" s="1" t="s">
        <v>27</v>
      </c>
      <c r="C148" s="1" t="s">
        <v>638</v>
      </c>
      <c r="D148" s="1" t="s">
        <v>639</v>
      </c>
      <c r="E148" s="1" t="n">
        <v>870</v>
      </c>
      <c r="J148" s="6" t="s">
        <v>30</v>
      </c>
      <c r="K148" s="10" t="s">
        <v>640</v>
      </c>
      <c r="L148" s="3" t="s">
        <v>54</v>
      </c>
      <c r="M148" s="3" t="s">
        <v>62</v>
      </c>
      <c r="N148" s="3" t="s">
        <v>110</v>
      </c>
      <c r="O148" s="3"/>
      <c r="P148" s="3" t="s">
        <v>217</v>
      </c>
      <c r="Q148" s="3" t="s">
        <v>65</v>
      </c>
      <c r="R148" s="3" t="s">
        <v>66</v>
      </c>
      <c r="S148" s="3" t="s">
        <v>67</v>
      </c>
      <c r="T148" s="3" t="s">
        <v>39</v>
      </c>
      <c r="U148" s="3" t="s">
        <v>40</v>
      </c>
      <c r="V148" s="3" t="s">
        <v>593</v>
      </c>
      <c r="W148" s="3" t="n">
        <v>300</v>
      </c>
      <c r="X148" s="3" t="n">
        <f aca="false">IF(ISNUMBER(W148),W148*3.412142,"")</f>
        <v>1023.6426</v>
      </c>
      <c r="Y148" s="3" t="s">
        <v>42</v>
      </c>
      <c r="Z148" s="4" t="s">
        <v>641</v>
      </c>
      <c r="AB148" s="7"/>
      <c r="AC148" s="7"/>
      <c r="AD148" s="7"/>
      <c r="AE148" s="7"/>
    </row>
    <row r="149" s="1" customFormat="true" ht="15.75" hidden="false" customHeight="true" outlineLevel="0" collapsed="false">
      <c r="A149" s="1" t="s">
        <v>213</v>
      </c>
      <c r="B149" s="1" t="s">
        <v>27</v>
      </c>
      <c r="C149" s="1" t="s">
        <v>642</v>
      </c>
      <c r="D149" s="1" t="s">
        <v>643</v>
      </c>
      <c r="E149" s="1" t="n">
        <v>2060</v>
      </c>
      <c r="J149" s="6" t="s">
        <v>30</v>
      </c>
      <c r="K149" s="10" t="s">
        <v>644</v>
      </c>
      <c r="L149" s="3" t="s">
        <v>61</v>
      </c>
      <c r="M149" s="3" t="s">
        <v>62</v>
      </c>
      <c r="N149" s="3" t="s">
        <v>110</v>
      </c>
      <c r="O149" s="3"/>
      <c r="P149" s="3" t="s">
        <v>645</v>
      </c>
      <c r="Q149" s="3" t="s">
        <v>65</v>
      </c>
      <c r="R149" s="3" t="s">
        <v>66</v>
      </c>
      <c r="S149" s="3" t="s">
        <v>67</v>
      </c>
      <c r="T149" s="3" t="s">
        <v>68</v>
      </c>
      <c r="U149" s="3" t="s">
        <v>40</v>
      </c>
      <c r="V149" s="3" t="s">
        <v>593</v>
      </c>
      <c r="W149" s="3" t="n">
        <v>300</v>
      </c>
      <c r="X149" s="3" t="n">
        <f aca="false">IF(ISNUMBER(W149),W149*3.412142,"")</f>
        <v>1023.6426</v>
      </c>
      <c r="Y149" s="3" t="s">
        <v>42</v>
      </c>
      <c r="Z149" s="4"/>
      <c r="AB149" s="7"/>
      <c r="AC149" s="7"/>
      <c r="AD149" s="7"/>
      <c r="AE149" s="7"/>
    </row>
    <row r="150" s="1" customFormat="true" ht="15.75" hidden="false" customHeight="true" outlineLevel="0" collapsed="false">
      <c r="A150" s="1" t="s">
        <v>213</v>
      </c>
      <c r="B150" s="1" t="s">
        <v>27</v>
      </c>
      <c r="C150" s="1" t="s">
        <v>646</v>
      </c>
      <c r="D150" s="1" t="s">
        <v>647</v>
      </c>
      <c r="E150" s="1" t="n">
        <v>1580</v>
      </c>
      <c r="J150" s="6" t="s">
        <v>30</v>
      </c>
      <c r="K150" s="10" t="s">
        <v>648</v>
      </c>
      <c r="L150" s="3" t="s">
        <v>61</v>
      </c>
      <c r="M150" s="3" t="s">
        <v>62</v>
      </c>
      <c r="N150" s="3" t="s">
        <v>110</v>
      </c>
      <c r="O150" s="3"/>
      <c r="P150" s="3" t="s">
        <v>645</v>
      </c>
      <c r="Q150" s="3" t="s">
        <v>65</v>
      </c>
      <c r="R150" s="3" t="s">
        <v>66</v>
      </c>
      <c r="S150" s="3" t="s">
        <v>67</v>
      </c>
      <c r="T150" s="3" t="s">
        <v>68</v>
      </c>
      <c r="U150" s="3" t="s">
        <v>40</v>
      </c>
      <c r="V150" s="3" t="s">
        <v>600</v>
      </c>
      <c r="W150" s="3" t="n">
        <v>500</v>
      </c>
      <c r="X150" s="3" t="n">
        <f aca="false">IF(ISNUMBER(W150),W150*3.412142,"")</f>
        <v>1706.071</v>
      </c>
      <c r="Y150" s="3" t="s">
        <v>42</v>
      </c>
      <c r="Z150" s="4"/>
      <c r="AB150" s="7"/>
      <c r="AC150" s="7"/>
      <c r="AD150" s="7"/>
      <c r="AE150" s="7"/>
    </row>
    <row r="151" s="1" customFormat="true" ht="15.75" hidden="false" customHeight="true" outlineLevel="0" collapsed="false">
      <c r="A151" s="1" t="s">
        <v>213</v>
      </c>
      <c r="B151" s="1" t="s">
        <v>27</v>
      </c>
      <c r="C151" s="1" t="s">
        <v>649</v>
      </c>
      <c r="D151" s="1" t="s">
        <v>231</v>
      </c>
      <c r="E151" s="1" t="n">
        <v>3990</v>
      </c>
      <c r="J151" s="6" t="s">
        <v>30</v>
      </c>
      <c r="K151" s="10" t="s">
        <v>650</v>
      </c>
      <c r="L151" s="3" t="s">
        <v>54</v>
      </c>
      <c r="M151" s="3" t="s">
        <v>62</v>
      </c>
      <c r="N151" s="3" t="s">
        <v>110</v>
      </c>
      <c r="O151" s="3"/>
      <c r="P151" s="3" t="s">
        <v>217</v>
      </c>
      <c r="Q151" s="3" t="s">
        <v>65</v>
      </c>
      <c r="R151" s="3" t="s">
        <v>66</v>
      </c>
      <c r="S151" s="3" t="s">
        <v>67</v>
      </c>
      <c r="T151" s="3" t="s">
        <v>39</v>
      </c>
      <c r="U151" s="3" t="s">
        <v>40</v>
      </c>
      <c r="V151" s="3" t="s">
        <v>593</v>
      </c>
      <c r="W151" s="3" t="n">
        <v>300</v>
      </c>
      <c r="X151" s="3" t="n">
        <f aca="false">IF(ISNUMBER(W151),W151*3.412142,"")</f>
        <v>1023.6426</v>
      </c>
      <c r="Y151" s="3" t="s">
        <v>42</v>
      </c>
      <c r="Z151" s="4"/>
      <c r="AB151" s="7"/>
      <c r="AC151" s="7"/>
      <c r="AD151" s="7"/>
      <c r="AE151" s="7"/>
    </row>
    <row r="152" s="1" customFormat="true" ht="15.75" hidden="false" customHeight="true" outlineLevel="0" collapsed="false">
      <c r="A152" s="1" t="s">
        <v>213</v>
      </c>
      <c r="B152" s="1" t="s">
        <v>27</v>
      </c>
      <c r="C152" s="1" t="s">
        <v>651</v>
      </c>
      <c r="D152" s="1" t="s">
        <v>227</v>
      </c>
      <c r="E152" s="1" t="n">
        <v>6390</v>
      </c>
      <c r="J152" s="6" t="s">
        <v>30</v>
      </c>
      <c r="K152" s="10" t="s">
        <v>652</v>
      </c>
      <c r="L152" s="3" t="s">
        <v>54</v>
      </c>
      <c r="M152" s="3" t="s">
        <v>62</v>
      </c>
      <c r="N152" s="3" t="s">
        <v>110</v>
      </c>
      <c r="O152" s="3"/>
      <c r="P152" s="3" t="s">
        <v>217</v>
      </c>
      <c r="Q152" s="3" t="s">
        <v>65</v>
      </c>
      <c r="R152" s="3" t="s">
        <v>66</v>
      </c>
      <c r="S152" s="3" t="s">
        <v>67</v>
      </c>
      <c r="T152" s="3" t="s">
        <v>39</v>
      </c>
      <c r="U152" s="3" t="s">
        <v>40</v>
      </c>
      <c r="V152" s="3" t="s">
        <v>593</v>
      </c>
      <c r="W152" s="3" t="n">
        <v>300</v>
      </c>
      <c r="X152" s="3" t="n">
        <f aca="false">IF(ISNUMBER(W152),W152*3.412142,"")</f>
        <v>1023.6426</v>
      </c>
      <c r="Y152" s="3" t="s">
        <v>42</v>
      </c>
      <c r="Z152" s="4"/>
      <c r="AB152" s="7"/>
      <c r="AC152" s="7"/>
      <c r="AD152" s="7"/>
      <c r="AE152" s="7"/>
    </row>
    <row r="153" s="1" customFormat="true" ht="15.75" hidden="false" customHeight="true" outlineLevel="0" collapsed="false">
      <c r="A153" s="1" t="s">
        <v>213</v>
      </c>
      <c r="B153" s="1" t="s">
        <v>27</v>
      </c>
      <c r="C153" s="1" t="s">
        <v>653</v>
      </c>
      <c r="D153" s="1" t="s">
        <v>654</v>
      </c>
      <c r="E153" s="1" t="n">
        <v>4990</v>
      </c>
      <c r="J153" s="6" t="s">
        <v>30</v>
      </c>
      <c r="K153" s="10" t="s">
        <v>650</v>
      </c>
      <c r="L153" s="3" t="s">
        <v>54</v>
      </c>
      <c r="M153" s="3" t="s">
        <v>62</v>
      </c>
      <c r="N153" s="3" t="s">
        <v>110</v>
      </c>
      <c r="O153" s="3"/>
      <c r="P153" s="3" t="s">
        <v>217</v>
      </c>
      <c r="Q153" s="3" t="s">
        <v>65</v>
      </c>
      <c r="R153" s="3" t="s">
        <v>66</v>
      </c>
      <c r="S153" s="3" t="s">
        <v>67</v>
      </c>
      <c r="T153" s="3" t="s">
        <v>39</v>
      </c>
      <c r="U153" s="3" t="s">
        <v>40</v>
      </c>
      <c r="V153" s="3" t="s">
        <v>600</v>
      </c>
      <c r="W153" s="3" t="n">
        <v>500</v>
      </c>
      <c r="X153" s="3" t="n">
        <f aca="false">IF(ISNUMBER(W153),W153*3.412142,"")</f>
        <v>1706.071</v>
      </c>
      <c r="Y153" s="3" t="s">
        <v>42</v>
      </c>
      <c r="Z153" s="4"/>
      <c r="AB153" s="7"/>
      <c r="AC153" s="7"/>
      <c r="AD153" s="7"/>
      <c r="AE153" s="7"/>
    </row>
    <row r="154" s="1" customFormat="true" ht="15.75" hidden="false" customHeight="true" outlineLevel="0" collapsed="false">
      <c r="A154" s="1" t="s">
        <v>213</v>
      </c>
      <c r="B154" s="1" t="s">
        <v>27</v>
      </c>
      <c r="C154" s="1" t="s">
        <v>655</v>
      </c>
      <c r="D154" s="1" t="s">
        <v>656</v>
      </c>
      <c r="E154" s="1" t="n">
        <v>3040</v>
      </c>
      <c r="J154" s="6" t="s">
        <v>30</v>
      </c>
      <c r="K154" s="10" t="s">
        <v>657</v>
      </c>
      <c r="L154" s="3" t="s">
        <v>54</v>
      </c>
      <c r="M154" s="3" t="s">
        <v>62</v>
      </c>
      <c r="N154" s="3" t="s">
        <v>110</v>
      </c>
      <c r="O154" s="3"/>
      <c r="P154" s="3" t="s">
        <v>217</v>
      </c>
      <c r="Q154" s="3" t="s">
        <v>65</v>
      </c>
      <c r="R154" s="3" t="s">
        <v>66</v>
      </c>
      <c r="S154" s="3" t="s">
        <v>67</v>
      </c>
      <c r="T154" s="3" t="s">
        <v>39</v>
      </c>
      <c r="U154" s="3" t="s">
        <v>40</v>
      </c>
      <c r="V154" s="3" t="s">
        <v>600</v>
      </c>
      <c r="W154" s="3" t="n">
        <v>500</v>
      </c>
      <c r="X154" s="3" t="n">
        <f aca="false">IF(ISNUMBER(W154),W154*3.412142,"")</f>
        <v>1706.071</v>
      </c>
      <c r="Y154" s="3" t="s">
        <v>42</v>
      </c>
      <c r="Z154" s="4"/>
      <c r="AB154" s="7"/>
      <c r="AC154" s="7"/>
      <c r="AD154" s="7"/>
      <c r="AE154" s="7"/>
    </row>
    <row r="155" s="1" customFormat="true" ht="15.75" hidden="false" customHeight="true" outlineLevel="0" collapsed="false">
      <c r="A155" s="1" t="s">
        <v>213</v>
      </c>
      <c r="B155" s="1" t="s">
        <v>27</v>
      </c>
      <c r="C155" s="1" t="s">
        <v>658</v>
      </c>
      <c r="D155" s="1" t="s">
        <v>659</v>
      </c>
      <c r="E155" s="1" t="n">
        <v>2720</v>
      </c>
      <c r="J155" s="6" t="s">
        <v>30</v>
      </c>
      <c r="K155" s="10" t="s">
        <v>660</v>
      </c>
      <c r="L155" s="3" t="s">
        <v>54</v>
      </c>
      <c r="M155" s="3" t="s">
        <v>62</v>
      </c>
      <c r="N155" s="3" t="s">
        <v>110</v>
      </c>
      <c r="O155" s="3"/>
      <c r="P155" s="3" t="s">
        <v>217</v>
      </c>
      <c r="Q155" s="3" t="s">
        <v>65</v>
      </c>
      <c r="R155" s="3" t="s">
        <v>66</v>
      </c>
      <c r="S155" s="3" t="s">
        <v>67</v>
      </c>
      <c r="T155" s="3" t="s">
        <v>39</v>
      </c>
      <c r="U155" s="3" t="s">
        <v>40</v>
      </c>
      <c r="V155" s="3" t="s">
        <v>618</v>
      </c>
      <c r="W155" s="3" t="n">
        <v>180</v>
      </c>
      <c r="X155" s="3" t="n">
        <f aca="false">IF(ISNUMBER(W155),W155*3.412142,"")</f>
        <v>614.18556</v>
      </c>
      <c r="Y155" s="3" t="s">
        <v>42</v>
      </c>
      <c r="Z155" s="4"/>
      <c r="AB155" s="7"/>
      <c r="AC155" s="7"/>
      <c r="AD155" s="7"/>
      <c r="AE155" s="7"/>
    </row>
    <row r="156" s="1" customFormat="true" ht="15.75" hidden="false" customHeight="true" outlineLevel="0" collapsed="false">
      <c r="A156" s="1" t="s">
        <v>213</v>
      </c>
      <c r="B156" s="1" t="s">
        <v>27</v>
      </c>
      <c r="C156" s="1" t="s">
        <v>661</v>
      </c>
      <c r="D156" s="1" t="s">
        <v>662</v>
      </c>
      <c r="E156" s="1" t="n">
        <v>3140</v>
      </c>
      <c r="J156" s="6" t="s">
        <v>30</v>
      </c>
      <c r="K156" s="10" t="s">
        <v>663</v>
      </c>
      <c r="L156" s="3" t="s">
        <v>54</v>
      </c>
      <c r="M156" s="3" t="s">
        <v>62</v>
      </c>
      <c r="N156" s="3" t="s">
        <v>110</v>
      </c>
      <c r="O156" s="3"/>
      <c r="P156" s="3" t="s">
        <v>217</v>
      </c>
      <c r="Q156" s="3" t="s">
        <v>65</v>
      </c>
      <c r="R156" s="3" t="s">
        <v>66</v>
      </c>
      <c r="S156" s="3" t="s">
        <v>67</v>
      </c>
      <c r="T156" s="3" t="s">
        <v>39</v>
      </c>
      <c r="U156" s="3" t="s">
        <v>40</v>
      </c>
      <c r="V156" s="3" t="s">
        <v>618</v>
      </c>
      <c r="W156" s="3" t="n">
        <v>180</v>
      </c>
      <c r="X156" s="3" t="n">
        <f aca="false">IF(ISNUMBER(W156),W156*3.412142,"")</f>
        <v>614.18556</v>
      </c>
      <c r="Y156" s="3" t="s">
        <v>42</v>
      </c>
      <c r="Z156" s="4"/>
      <c r="AB156" s="7"/>
      <c r="AC156" s="7"/>
      <c r="AD156" s="7"/>
      <c r="AE156" s="7"/>
    </row>
    <row r="157" s="1" customFormat="true" ht="15.75" hidden="false" customHeight="true" outlineLevel="0" collapsed="false">
      <c r="A157" s="1" t="s">
        <v>213</v>
      </c>
      <c r="B157" s="1" t="s">
        <v>27</v>
      </c>
      <c r="C157" s="1" t="s">
        <v>664</v>
      </c>
      <c r="D157" s="1" t="s">
        <v>665</v>
      </c>
      <c r="E157" s="1" t="n">
        <v>3040</v>
      </c>
      <c r="J157" s="6" t="s">
        <v>30</v>
      </c>
      <c r="K157" s="10" t="s">
        <v>660</v>
      </c>
      <c r="L157" s="3" t="s">
        <v>54</v>
      </c>
      <c r="M157" s="3" t="s">
        <v>62</v>
      </c>
      <c r="N157" s="3" t="s">
        <v>110</v>
      </c>
      <c r="O157" s="3"/>
      <c r="P157" s="3" t="s">
        <v>217</v>
      </c>
      <c r="Q157" s="3" t="s">
        <v>65</v>
      </c>
      <c r="R157" s="3" t="s">
        <v>66</v>
      </c>
      <c r="S157" s="3" t="s">
        <v>67</v>
      </c>
      <c r="T157" s="3" t="s">
        <v>39</v>
      </c>
      <c r="U157" s="3" t="s">
        <v>40</v>
      </c>
      <c r="V157" s="3" t="s">
        <v>593</v>
      </c>
      <c r="W157" s="3" t="n">
        <v>300</v>
      </c>
      <c r="X157" s="3" t="n">
        <f aca="false">IF(ISNUMBER(W157),W157*3.412142,"")</f>
        <v>1023.6426</v>
      </c>
      <c r="Y157" s="3" t="s">
        <v>42</v>
      </c>
      <c r="Z157" s="4"/>
      <c r="AB157" s="7"/>
      <c r="AC157" s="7"/>
      <c r="AD157" s="7"/>
      <c r="AE157" s="7"/>
    </row>
    <row r="158" s="1" customFormat="true" ht="15.75" hidden="false" customHeight="true" outlineLevel="0" collapsed="false">
      <c r="A158" s="1" t="s">
        <v>213</v>
      </c>
      <c r="B158" s="1" t="s">
        <v>27</v>
      </c>
      <c r="C158" s="1" t="s">
        <v>666</v>
      </c>
      <c r="D158" s="1" t="s">
        <v>667</v>
      </c>
      <c r="E158" s="1" t="n">
        <v>1220</v>
      </c>
      <c r="J158" s="6" t="s">
        <v>30</v>
      </c>
      <c r="K158" s="10" t="s">
        <v>668</v>
      </c>
      <c r="L158" s="3" t="s">
        <v>54</v>
      </c>
      <c r="M158" s="3" t="s">
        <v>62</v>
      </c>
      <c r="N158" s="3" t="s">
        <v>110</v>
      </c>
      <c r="O158" s="3"/>
      <c r="P158" s="3" t="s">
        <v>217</v>
      </c>
      <c r="Q158" s="3" t="s">
        <v>65</v>
      </c>
      <c r="R158" s="3" t="s">
        <v>66</v>
      </c>
      <c r="S158" s="3" t="s">
        <v>67</v>
      </c>
      <c r="T158" s="3" t="s">
        <v>39</v>
      </c>
      <c r="U158" s="3" t="s">
        <v>40</v>
      </c>
      <c r="V158" s="3" t="s">
        <v>618</v>
      </c>
      <c r="W158" s="3" t="n">
        <v>180</v>
      </c>
      <c r="X158" s="3" t="n">
        <f aca="false">IF(ISNUMBER(W158),W158*3.412142,"")</f>
        <v>614.18556</v>
      </c>
      <c r="Y158" s="3" t="s">
        <v>42</v>
      </c>
      <c r="Z158" s="4"/>
      <c r="AB158" s="7"/>
      <c r="AC158" s="7"/>
      <c r="AD158" s="7"/>
      <c r="AE158" s="7"/>
    </row>
    <row r="159" s="1" customFormat="true" ht="15.75" hidden="false" customHeight="true" outlineLevel="0" collapsed="false">
      <c r="A159" s="1" t="s">
        <v>669</v>
      </c>
      <c r="B159" s="1" t="s">
        <v>27</v>
      </c>
      <c r="C159" s="1" t="s">
        <v>670</v>
      </c>
      <c r="D159" s="1" t="s">
        <v>671</v>
      </c>
      <c r="E159" s="1" t="n">
        <v>1210</v>
      </c>
      <c r="J159" s="6" t="s">
        <v>30</v>
      </c>
      <c r="K159" s="10" t="s">
        <v>672</v>
      </c>
      <c r="L159" s="3" t="s">
        <v>46</v>
      </c>
      <c r="M159" s="3" t="s">
        <v>122</v>
      </c>
      <c r="N159" s="3" t="s">
        <v>48</v>
      </c>
      <c r="O159" s="3"/>
      <c r="P159" s="3" t="s">
        <v>123</v>
      </c>
      <c r="Q159" s="3" t="s">
        <v>36</v>
      </c>
      <c r="R159" s="3" t="s">
        <v>37</v>
      </c>
      <c r="S159" s="3" t="s">
        <v>38</v>
      </c>
      <c r="T159" s="3" t="s">
        <v>39</v>
      </c>
      <c r="U159" s="3" t="s">
        <v>40</v>
      </c>
      <c r="V159" s="3" t="s">
        <v>41</v>
      </c>
      <c r="W159" s="3" t="n">
        <v>100</v>
      </c>
      <c r="X159" s="3" t="n">
        <f aca="false">IF(ISNUMBER(W159),W159*3.412142,"")</f>
        <v>341.2142</v>
      </c>
      <c r="Y159" s="3" t="s">
        <v>42</v>
      </c>
      <c r="Z159" s="4" t="s">
        <v>673</v>
      </c>
      <c r="AB159" s="7"/>
      <c r="AC159" s="7"/>
      <c r="AD159" s="7"/>
      <c r="AE159" s="7"/>
    </row>
    <row r="160" s="1" customFormat="true" ht="15.75" hidden="false" customHeight="true" outlineLevel="0" collapsed="false">
      <c r="A160" s="1" t="s">
        <v>669</v>
      </c>
      <c r="B160" s="1" t="s">
        <v>27</v>
      </c>
      <c r="C160" s="1" t="s">
        <v>674</v>
      </c>
      <c r="D160" s="1" t="s">
        <v>675</v>
      </c>
      <c r="E160" s="1" t="n">
        <v>870</v>
      </c>
      <c r="J160" s="6" t="s">
        <v>30</v>
      </c>
      <c r="K160" s="10" t="s">
        <v>676</v>
      </c>
      <c r="L160" s="3" t="s">
        <v>46</v>
      </c>
      <c r="M160" s="3" t="s">
        <v>122</v>
      </c>
      <c r="N160" s="3" t="s">
        <v>48</v>
      </c>
      <c r="O160" s="3"/>
      <c r="P160" s="3" t="s">
        <v>123</v>
      </c>
      <c r="Q160" s="3" t="s">
        <v>36</v>
      </c>
      <c r="R160" s="3" t="s">
        <v>37</v>
      </c>
      <c r="S160" s="3" t="s">
        <v>38</v>
      </c>
      <c r="T160" s="3" t="s">
        <v>39</v>
      </c>
      <c r="U160" s="3" t="s">
        <v>124</v>
      </c>
      <c r="V160" s="3" t="s">
        <v>125</v>
      </c>
      <c r="W160" s="3" t="n">
        <v>12</v>
      </c>
      <c r="X160" s="3" t="n">
        <f aca="false">IF(ISNUMBER(W160),W160*3.412142,"")</f>
        <v>40.945704</v>
      </c>
      <c r="Y160" s="3" t="s">
        <v>126</v>
      </c>
      <c r="Z160" s="4" t="s">
        <v>677</v>
      </c>
      <c r="AB160" s="7"/>
      <c r="AC160" s="7"/>
      <c r="AD160" s="7"/>
      <c r="AE160" s="7"/>
    </row>
    <row r="161" s="1" customFormat="true" ht="15.75" hidden="false" customHeight="true" outlineLevel="0" collapsed="false">
      <c r="A161" s="1" t="s">
        <v>669</v>
      </c>
      <c r="B161" s="1" t="s">
        <v>27</v>
      </c>
      <c r="C161" s="1" t="s">
        <v>678</v>
      </c>
      <c r="D161" s="1" t="s">
        <v>679</v>
      </c>
      <c r="E161" s="1" t="n">
        <v>870</v>
      </c>
      <c r="J161" s="6" t="s">
        <v>30</v>
      </c>
      <c r="K161" s="10" t="s">
        <v>680</v>
      </c>
      <c r="L161" s="3" t="s">
        <v>46</v>
      </c>
      <c r="M161" s="3" t="s">
        <v>122</v>
      </c>
      <c r="N161" s="3" t="s">
        <v>48</v>
      </c>
      <c r="O161" s="3"/>
      <c r="P161" s="3" t="s">
        <v>123</v>
      </c>
      <c r="Q161" s="3" t="s">
        <v>36</v>
      </c>
      <c r="R161" s="3" t="s">
        <v>37</v>
      </c>
      <c r="S161" s="3" t="s">
        <v>38</v>
      </c>
      <c r="T161" s="3" t="s">
        <v>39</v>
      </c>
      <c r="U161" s="3" t="s">
        <v>124</v>
      </c>
      <c r="V161" s="3" t="s">
        <v>125</v>
      </c>
      <c r="W161" s="3" t="n">
        <v>12</v>
      </c>
      <c r="X161" s="3" t="n">
        <f aca="false">IF(ISNUMBER(W161),W161*3.412142,"")</f>
        <v>40.945704</v>
      </c>
      <c r="Y161" s="3" t="s">
        <v>126</v>
      </c>
      <c r="Z161" s="4" t="s">
        <v>681</v>
      </c>
      <c r="AB161" s="7"/>
      <c r="AC161" s="7"/>
      <c r="AD161" s="7"/>
      <c r="AE161" s="7"/>
    </row>
    <row r="162" s="1" customFormat="true" ht="15.75" hidden="false" customHeight="true" outlineLevel="0" collapsed="false">
      <c r="A162" s="1" t="s">
        <v>669</v>
      </c>
      <c r="B162" s="1" t="s">
        <v>27</v>
      </c>
      <c r="C162" s="1" t="s">
        <v>682</v>
      </c>
      <c r="D162" s="1" t="s">
        <v>683</v>
      </c>
      <c r="E162" s="1" t="n">
        <v>740</v>
      </c>
      <c r="J162" s="6" t="s">
        <v>30</v>
      </c>
      <c r="K162" s="10" t="s">
        <v>684</v>
      </c>
      <c r="L162" s="3" t="s">
        <v>46</v>
      </c>
      <c r="M162" s="3" t="s">
        <v>122</v>
      </c>
      <c r="N162" s="3" t="s">
        <v>48</v>
      </c>
      <c r="O162" s="3"/>
      <c r="P162" s="3" t="s">
        <v>123</v>
      </c>
      <c r="Q162" s="3" t="s">
        <v>36</v>
      </c>
      <c r="R162" s="3" t="s">
        <v>37</v>
      </c>
      <c r="S162" s="3" t="s">
        <v>38</v>
      </c>
      <c r="T162" s="3" t="s">
        <v>39</v>
      </c>
      <c r="U162" s="3" t="s">
        <v>124</v>
      </c>
      <c r="V162" s="3" t="s">
        <v>125</v>
      </c>
      <c r="W162" s="3" t="n">
        <v>12</v>
      </c>
      <c r="X162" s="3" t="n">
        <f aca="false">IF(ISNUMBER(W162),W162*3.412142,"")</f>
        <v>40.945704</v>
      </c>
      <c r="Y162" s="3" t="s">
        <v>126</v>
      </c>
      <c r="Z162" s="4"/>
      <c r="AB162" s="7"/>
      <c r="AC162" s="7"/>
      <c r="AD162" s="7"/>
      <c r="AE162" s="7"/>
    </row>
    <row r="163" s="1" customFormat="true" ht="15.75" hidden="false" customHeight="true" outlineLevel="0" collapsed="false">
      <c r="A163" s="1" t="s">
        <v>669</v>
      </c>
      <c r="B163" s="1" t="s">
        <v>27</v>
      </c>
      <c r="C163" s="1" t="s">
        <v>685</v>
      </c>
      <c r="D163" s="1" t="s">
        <v>686</v>
      </c>
      <c r="E163" s="1" t="n">
        <v>1220</v>
      </c>
      <c r="J163" s="6" t="s">
        <v>30</v>
      </c>
      <c r="K163" s="10" t="s">
        <v>687</v>
      </c>
      <c r="L163" s="3" t="s">
        <v>46</v>
      </c>
      <c r="M163" s="3" t="s">
        <v>55</v>
      </c>
      <c r="N163" s="3" t="s">
        <v>48</v>
      </c>
      <c r="O163" s="3"/>
      <c r="P163" s="3" t="s">
        <v>49</v>
      </c>
      <c r="Q163" s="3" t="s">
        <v>36</v>
      </c>
      <c r="R163" s="3" t="s">
        <v>37</v>
      </c>
      <c r="S163" s="3" t="s">
        <v>38</v>
      </c>
      <c r="T163" s="3" t="s">
        <v>39</v>
      </c>
      <c r="U163" s="3" t="s">
        <v>124</v>
      </c>
      <c r="V163" s="3" t="s">
        <v>125</v>
      </c>
      <c r="W163" s="3" t="n">
        <v>12</v>
      </c>
      <c r="X163" s="3" t="n">
        <f aca="false">IF(ISNUMBER(W163),W163*3.412142,"")</f>
        <v>40.945704</v>
      </c>
      <c r="Y163" s="3" t="s">
        <v>126</v>
      </c>
      <c r="Z163" s="4"/>
      <c r="AB163" s="7"/>
      <c r="AC163" s="7"/>
      <c r="AD163" s="7"/>
      <c r="AE163" s="7"/>
    </row>
    <row r="164" s="1" customFormat="true" ht="15.75" hidden="false" customHeight="true" outlineLevel="0" collapsed="false">
      <c r="A164" s="1" t="s">
        <v>669</v>
      </c>
      <c r="B164" s="1" t="s">
        <v>27</v>
      </c>
      <c r="C164" s="1" t="s">
        <v>688</v>
      </c>
      <c r="D164" s="1" t="s">
        <v>689</v>
      </c>
      <c r="E164" s="1" t="n">
        <v>610</v>
      </c>
      <c r="J164" s="6" t="s">
        <v>30</v>
      </c>
      <c r="K164" s="10" t="s">
        <v>690</v>
      </c>
      <c r="L164" s="3" t="s">
        <v>691</v>
      </c>
      <c r="M164" s="3" t="s">
        <v>556</v>
      </c>
      <c r="N164" s="3" t="s">
        <v>692</v>
      </c>
      <c r="O164" s="3"/>
      <c r="P164" s="3" t="s">
        <v>359</v>
      </c>
      <c r="Q164" s="3" t="s">
        <v>693</v>
      </c>
      <c r="R164" s="3" t="s">
        <v>146</v>
      </c>
      <c r="S164" s="3" t="s">
        <v>147</v>
      </c>
      <c r="T164" s="3" t="s">
        <v>148</v>
      </c>
      <c r="U164" s="3" t="s">
        <v>694</v>
      </c>
      <c r="V164" s="3" t="s">
        <v>695</v>
      </c>
      <c r="W164" s="3" t="n">
        <v>1</v>
      </c>
      <c r="X164" s="3" t="n">
        <f aca="false">IF(ISNUMBER(W164),W164*3.412142,"")</f>
        <v>3.412142</v>
      </c>
      <c r="Y164" s="3" t="s">
        <v>696</v>
      </c>
      <c r="Z164" s="4" t="s">
        <v>697</v>
      </c>
      <c r="AB164" s="7"/>
      <c r="AC164" s="7"/>
      <c r="AD164" s="7"/>
      <c r="AE164" s="7"/>
    </row>
    <row r="165" s="1" customFormat="true" ht="15.75" hidden="false" customHeight="true" outlineLevel="0" collapsed="false">
      <c r="A165" s="1" t="s">
        <v>669</v>
      </c>
      <c r="B165" s="1" t="s">
        <v>27</v>
      </c>
      <c r="C165" s="1" t="s">
        <v>698</v>
      </c>
      <c r="D165" s="1" t="s">
        <v>699</v>
      </c>
      <c r="E165" s="1" t="n">
        <v>490</v>
      </c>
      <c r="J165" s="6" t="s">
        <v>30</v>
      </c>
      <c r="K165" s="10" t="s">
        <v>700</v>
      </c>
      <c r="L165" s="3" t="s">
        <v>46</v>
      </c>
      <c r="M165" s="3" t="s">
        <v>122</v>
      </c>
      <c r="N165" s="3" t="s">
        <v>48</v>
      </c>
      <c r="O165" s="3"/>
      <c r="P165" s="3" t="s">
        <v>123</v>
      </c>
      <c r="Q165" s="3" t="s">
        <v>36</v>
      </c>
      <c r="R165" s="3" t="s">
        <v>37</v>
      </c>
      <c r="S165" s="3" t="s">
        <v>38</v>
      </c>
      <c r="T165" s="3" t="s">
        <v>39</v>
      </c>
      <c r="U165" s="3" t="s">
        <v>694</v>
      </c>
      <c r="V165" s="3" t="s">
        <v>701</v>
      </c>
      <c r="W165" s="3" t="n">
        <v>4.5</v>
      </c>
      <c r="X165" s="3" t="n">
        <f aca="false">IF(ISNUMBER(W165),W165*3.412142,"")</f>
        <v>15.354639</v>
      </c>
      <c r="Y165" s="3" t="s">
        <v>702</v>
      </c>
      <c r="Z165" s="4" t="s">
        <v>703</v>
      </c>
      <c r="AB165" s="7"/>
      <c r="AC165" s="7"/>
      <c r="AD165" s="7"/>
      <c r="AE165" s="7"/>
    </row>
    <row r="166" s="1" customFormat="true" ht="15.75" hidden="false" customHeight="true" outlineLevel="0" collapsed="false">
      <c r="A166" s="1" t="s">
        <v>287</v>
      </c>
      <c r="B166" s="1" t="s">
        <v>27</v>
      </c>
      <c r="C166" s="1" t="s">
        <v>704</v>
      </c>
      <c r="D166" s="1" t="s">
        <v>705</v>
      </c>
      <c r="E166" s="1" t="n">
        <v>560</v>
      </c>
      <c r="J166" s="6" t="s">
        <v>30</v>
      </c>
      <c r="K166" s="10" t="s">
        <v>706</v>
      </c>
      <c r="L166" s="3" t="s">
        <v>291</v>
      </c>
      <c r="M166" s="3" t="s">
        <v>291</v>
      </c>
      <c r="N166" s="3" t="s">
        <v>292</v>
      </c>
      <c r="O166" s="3"/>
      <c r="P166" s="3" t="s">
        <v>707</v>
      </c>
      <c r="Q166" s="3" t="s">
        <v>294</v>
      </c>
      <c r="R166" s="3" t="s">
        <v>146</v>
      </c>
      <c r="S166" s="3" t="s">
        <v>147</v>
      </c>
      <c r="T166" s="3" t="s">
        <v>148</v>
      </c>
      <c r="U166" s="3" t="s">
        <v>295</v>
      </c>
      <c r="V166" s="3" t="s">
        <v>295</v>
      </c>
      <c r="W166" s="3" t="n">
        <v>0</v>
      </c>
      <c r="X166" s="3" t="n">
        <f aca="false">IF(ISNUMBER(W166),W166*3.412142,"")</f>
        <v>0</v>
      </c>
      <c r="Y166" s="3" t="s">
        <v>296</v>
      </c>
      <c r="Z166" s="4"/>
      <c r="AB166" s="7"/>
      <c r="AC166" s="7"/>
      <c r="AD166" s="7"/>
      <c r="AE166" s="7"/>
    </row>
    <row r="167" s="1" customFormat="true" ht="15.75" hidden="false" customHeight="true" outlineLevel="0" collapsed="false">
      <c r="A167" s="1" t="s">
        <v>287</v>
      </c>
      <c r="B167" s="1" t="s">
        <v>27</v>
      </c>
      <c r="C167" s="1" t="s">
        <v>708</v>
      </c>
      <c r="D167" s="1" t="s">
        <v>709</v>
      </c>
      <c r="E167" s="1" t="n">
        <v>670</v>
      </c>
      <c r="J167" s="6" t="s">
        <v>30</v>
      </c>
      <c r="K167" s="10" t="s">
        <v>710</v>
      </c>
      <c r="L167" s="3" t="s">
        <v>711</v>
      </c>
      <c r="M167" s="3"/>
      <c r="N167" s="3"/>
      <c r="O167" s="3" t="s">
        <v>712</v>
      </c>
      <c r="P167" s="3" t="s">
        <v>111</v>
      </c>
      <c r="Q167" s="3" t="s">
        <v>294</v>
      </c>
      <c r="R167" s="3" t="s">
        <v>146</v>
      </c>
      <c r="S167" s="3" t="s">
        <v>147</v>
      </c>
      <c r="T167" s="3" t="s">
        <v>148</v>
      </c>
      <c r="U167" s="3" t="s">
        <v>295</v>
      </c>
      <c r="V167" s="3" t="s">
        <v>295</v>
      </c>
      <c r="W167" s="3" t="n">
        <v>0</v>
      </c>
      <c r="X167" s="3" t="n">
        <f aca="false">IF(ISNUMBER(W167),W167*3.412142,"")</f>
        <v>0</v>
      </c>
      <c r="Y167" s="3" t="s">
        <v>296</v>
      </c>
      <c r="Z167" s="4" t="s">
        <v>713</v>
      </c>
      <c r="AB167" s="7"/>
      <c r="AC167" s="7"/>
      <c r="AD167" s="7"/>
      <c r="AE167" s="7"/>
    </row>
    <row r="168" s="1" customFormat="true" ht="15.75" hidden="false" customHeight="true" outlineLevel="0" collapsed="false">
      <c r="A168" s="1" t="s">
        <v>287</v>
      </c>
      <c r="B168" s="1" t="s">
        <v>27</v>
      </c>
      <c r="C168" s="1" t="s">
        <v>714</v>
      </c>
      <c r="D168" s="1" t="s">
        <v>715</v>
      </c>
      <c r="E168" s="1" t="n">
        <v>670</v>
      </c>
      <c r="J168" s="6" t="s">
        <v>30</v>
      </c>
      <c r="K168" s="10" t="s">
        <v>710</v>
      </c>
      <c r="L168" s="3" t="s">
        <v>716</v>
      </c>
      <c r="M168" s="3"/>
      <c r="N168" s="3"/>
      <c r="O168" s="3" t="s">
        <v>712</v>
      </c>
      <c r="P168" s="3" t="s">
        <v>269</v>
      </c>
      <c r="Q168" s="3" t="s">
        <v>294</v>
      </c>
      <c r="R168" s="3" t="s">
        <v>146</v>
      </c>
      <c r="S168" s="3" t="s">
        <v>147</v>
      </c>
      <c r="T168" s="3" t="s">
        <v>148</v>
      </c>
      <c r="U168" s="3" t="s">
        <v>295</v>
      </c>
      <c r="V168" s="3" t="s">
        <v>295</v>
      </c>
      <c r="W168" s="3" t="n">
        <v>0</v>
      </c>
      <c r="X168" s="3" t="n">
        <f aca="false">IF(ISNUMBER(W168),W168*3.412142,"")</f>
        <v>0</v>
      </c>
      <c r="Y168" s="3" t="s">
        <v>296</v>
      </c>
      <c r="Z168" s="4" t="s">
        <v>713</v>
      </c>
      <c r="AB168" s="7"/>
      <c r="AC168" s="7"/>
      <c r="AD168" s="7"/>
      <c r="AE168" s="7"/>
    </row>
    <row r="169" s="1" customFormat="true" ht="15.75" hidden="false" customHeight="true" outlineLevel="0" collapsed="false">
      <c r="A169" s="1" t="s">
        <v>287</v>
      </c>
      <c r="B169" s="1" t="s">
        <v>27</v>
      </c>
      <c r="C169" s="1" t="s">
        <v>717</v>
      </c>
      <c r="D169" s="1" t="s">
        <v>718</v>
      </c>
      <c r="E169" s="1" t="n">
        <v>280</v>
      </c>
      <c r="J169" s="6" t="s">
        <v>30</v>
      </c>
      <c r="K169" s="10" t="s">
        <v>710</v>
      </c>
      <c r="L169" s="3" t="s">
        <v>719</v>
      </c>
      <c r="M169" s="3" t="s">
        <v>720</v>
      </c>
      <c r="N169" s="3" t="s">
        <v>692</v>
      </c>
      <c r="O169" s="3"/>
      <c r="P169" s="3" t="s">
        <v>721</v>
      </c>
      <c r="Q169" s="3" t="s">
        <v>294</v>
      </c>
      <c r="R169" s="3" t="s">
        <v>146</v>
      </c>
      <c r="S169" s="3" t="s">
        <v>147</v>
      </c>
      <c r="T169" s="3" t="s">
        <v>148</v>
      </c>
      <c r="U169" s="3" t="s">
        <v>295</v>
      </c>
      <c r="V169" s="3" t="s">
        <v>295</v>
      </c>
      <c r="W169" s="3" t="n">
        <v>0</v>
      </c>
      <c r="X169" s="3" t="n">
        <f aca="false">IF(ISNUMBER(W169),W169*3.412142,"")</f>
        <v>0</v>
      </c>
      <c r="Y169" s="3" t="s">
        <v>296</v>
      </c>
      <c r="Z169" s="4"/>
      <c r="AB169" s="7"/>
      <c r="AC169" s="7"/>
      <c r="AD169" s="7"/>
      <c r="AE169" s="7"/>
    </row>
    <row r="170" s="1" customFormat="true" ht="15.75" hidden="false" customHeight="true" outlineLevel="0" collapsed="false">
      <c r="A170" s="1" t="s">
        <v>287</v>
      </c>
      <c r="B170" s="1" t="s">
        <v>27</v>
      </c>
      <c r="C170" s="1" t="s">
        <v>722</v>
      </c>
      <c r="D170" s="1" t="s">
        <v>723</v>
      </c>
      <c r="E170" s="1" t="n">
        <v>320</v>
      </c>
      <c r="J170" s="6" t="s">
        <v>30</v>
      </c>
      <c r="K170" s="10" t="s">
        <v>710</v>
      </c>
      <c r="L170" s="3" t="s">
        <v>724</v>
      </c>
      <c r="M170" s="3"/>
      <c r="N170" s="3"/>
      <c r="O170" s="3" t="s">
        <v>725</v>
      </c>
      <c r="P170" s="3" t="s">
        <v>49</v>
      </c>
      <c r="Q170" s="3" t="s">
        <v>294</v>
      </c>
      <c r="R170" s="3" t="s">
        <v>146</v>
      </c>
      <c r="S170" s="3" t="s">
        <v>147</v>
      </c>
      <c r="T170" s="3" t="s">
        <v>148</v>
      </c>
      <c r="U170" s="3" t="s">
        <v>295</v>
      </c>
      <c r="V170" s="3" t="s">
        <v>295</v>
      </c>
      <c r="W170" s="3" t="n">
        <v>0</v>
      </c>
      <c r="X170" s="3" t="n">
        <f aca="false">IF(ISNUMBER(W170),W170*3.412142,"")</f>
        <v>0</v>
      </c>
      <c r="Y170" s="3" t="s">
        <v>296</v>
      </c>
      <c r="Z170" s="4" t="s">
        <v>713</v>
      </c>
      <c r="AB170" s="7"/>
      <c r="AC170" s="7"/>
      <c r="AD170" s="7"/>
      <c r="AE170" s="7"/>
    </row>
    <row r="171" s="1" customFormat="true" ht="15.75" hidden="false" customHeight="true" outlineLevel="0" collapsed="false">
      <c r="A171" s="1" t="s">
        <v>287</v>
      </c>
      <c r="B171" s="1" t="s">
        <v>27</v>
      </c>
      <c r="C171" s="1" t="s">
        <v>726</v>
      </c>
      <c r="D171" s="1" t="s">
        <v>727</v>
      </c>
      <c r="E171" s="1" t="n">
        <v>370</v>
      </c>
      <c r="J171" s="6" t="s">
        <v>30</v>
      </c>
      <c r="K171" s="10" t="s">
        <v>710</v>
      </c>
      <c r="L171" s="3" t="s">
        <v>724</v>
      </c>
      <c r="M171" s="3"/>
      <c r="N171" s="3"/>
      <c r="O171" s="3" t="s">
        <v>725</v>
      </c>
      <c r="P171" s="3" t="s">
        <v>728</v>
      </c>
      <c r="Q171" s="3" t="s">
        <v>294</v>
      </c>
      <c r="R171" s="3" t="s">
        <v>146</v>
      </c>
      <c r="S171" s="3" t="s">
        <v>147</v>
      </c>
      <c r="T171" s="3" t="s">
        <v>148</v>
      </c>
      <c r="U171" s="3" t="s">
        <v>295</v>
      </c>
      <c r="V171" s="3" t="s">
        <v>295</v>
      </c>
      <c r="W171" s="3" t="n">
        <v>0</v>
      </c>
      <c r="X171" s="3" t="n">
        <f aca="false">IF(ISNUMBER(W171),W171*3.412142,"")</f>
        <v>0</v>
      </c>
      <c r="Y171" s="3" t="s">
        <v>296</v>
      </c>
      <c r="Z171" s="4" t="s">
        <v>713</v>
      </c>
      <c r="AB171" s="7"/>
      <c r="AC171" s="7"/>
      <c r="AD171" s="7"/>
      <c r="AE171" s="7"/>
    </row>
    <row r="172" s="1" customFormat="true" ht="15.75" hidden="false" customHeight="true" outlineLevel="0" collapsed="false">
      <c r="A172" s="1" t="s">
        <v>287</v>
      </c>
      <c r="B172" s="1" t="s">
        <v>27</v>
      </c>
      <c r="C172" s="1" t="s">
        <v>729</v>
      </c>
      <c r="D172" s="1" t="s">
        <v>730</v>
      </c>
      <c r="E172" s="1" t="n">
        <v>570</v>
      </c>
      <c r="J172" s="6" t="s">
        <v>30</v>
      </c>
      <c r="K172" s="10" t="s">
        <v>710</v>
      </c>
      <c r="L172" s="3" t="s">
        <v>355</v>
      </c>
      <c r="M172" s="3"/>
      <c r="N172" s="3"/>
      <c r="O172" s="3" t="s">
        <v>731</v>
      </c>
      <c r="P172" s="3" t="s">
        <v>35</v>
      </c>
      <c r="Q172" s="3" t="s">
        <v>294</v>
      </c>
      <c r="R172" s="3" t="s">
        <v>146</v>
      </c>
      <c r="S172" s="3" t="s">
        <v>147</v>
      </c>
      <c r="T172" s="3" t="s">
        <v>148</v>
      </c>
      <c r="U172" s="3" t="s">
        <v>295</v>
      </c>
      <c r="V172" s="3" t="s">
        <v>295</v>
      </c>
      <c r="W172" s="3" t="n">
        <v>0</v>
      </c>
      <c r="X172" s="3" t="n">
        <f aca="false">IF(ISNUMBER(W172),W172*3.412142,"")</f>
        <v>0</v>
      </c>
      <c r="Y172" s="3" t="s">
        <v>296</v>
      </c>
      <c r="Z172" s="4" t="s">
        <v>713</v>
      </c>
      <c r="AB172" s="7"/>
      <c r="AC172" s="7"/>
      <c r="AD172" s="7"/>
      <c r="AE172" s="7"/>
    </row>
    <row r="173" s="1" customFormat="true" ht="15.75" hidden="false" customHeight="true" outlineLevel="0" collapsed="false">
      <c r="A173" s="1" t="s">
        <v>287</v>
      </c>
      <c r="B173" s="1" t="s">
        <v>27</v>
      </c>
      <c r="C173" s="1" t="s">
        <v>732</v>
      </c>
      <c r="D173" s="1" t="s">
        <v>733</v>
      </c>
      <c r="E173" s="1" t="n">
        <v>680</v>
      </c>
      <c r="J173" s="6" t="s">
        <v>30</v>
      </c>
      <c r="K173" s="10" t="s">
        <v>710</v>
      </c>
      <c r="L173" s="3" t="s">
        <v>734</v>
      </c>
      <c r="M173" s="3"/>
      <c r="N173" s="3"/>
      <c r="O173" s="3" t="s">
        <v>731</v>
      </c>
      <c r="P173" s="3" t="s">
        <v>735</v>
      </c>
      <c r="Q173" s="3" t="s">
        <v>294</v>
      </c>
      <c r="R173" s="3" t="s">
        <v>146</v>
      </c>
      <c r="S173" s="3" t="s">
        <v>147</v>
      </c>
      <c r="T173" s="3" t="s">
        <v>148</v>
      </c>
      <c r="U173" s="3" t="s">
        <v>295</v>
      </c>
      <c r="V173" s="3" t="s">
        <v>295</v>
      </c>
      <c r="W173" s="3" t="n">
        <v>0</v>
      </c>
      <c r="X173" s="3" t="n">
        <f aca="false">IF(ISNUMBER(W173),W173*3.412142,"")</f>
        <v>0</v>
      </c>
      <c r="Y173" s="3" t="s">
        <v>296</v>
      </c>
      <c r="Z173" s="4" t="s">
        <v>713</v>
      </c>
      <c r="AB173" s="7"/>
      <c r="AC173" s="7"/>
      <c r="AD173" s="7"/>
      <c r="AE173" s="7"/>
    </row>
    <row r="174" s="1" customFormat="true" ht="15.75" hidden="false" customHeight="true" outlineLevel="0" collapsed="false">
      <c r="A174" s="1" t="s">
        <v>287</v>
      </c>
      <c r="B174" s="1" t="s">
        <v>27</v>
      </c>
      <c r="C174" s="1" t="s">
        <v>736</v>
      </c>
      <c r="D174" s="1" t="s">
        <v>737</v>
      </c>
      <c r="E174" s="1" t="n">
        <v>290</v>
      </c>
      <c r="J174" s="6" t="s">
        <v>30</v>
      </c>
      <c r="K174" s="10" t="s">
        <v>710</v>
      </c>
      <c r="L174" s="3" t="s">
        <v>738</v>
      </c>
      <c r="M174" s="3"/>
      <c r="N174" s="3"/>
      <c r="O174" s="3" t="s">
        <v>739</v>
      </c>
      <c r="P174" s="3" t="s">
        <v>35</v>
      </c>
      <c r="Q174" s="3" t="s">
        <v>294</v>
      </c>
      <c r="R174" s="3" t="s">
        <v>146</v>
      </c>
      <c r="S174" s="3" t="s">
        <v>147</v>
      </c>
      <c r="T174" s="3" t="s">
        <v>148</v>
      </c>
      <c r="U174" s="3" t="s">
        <v>295</v>
      </c>
      <c r="V174" s="3" t="s">
        <v>295</v>
      </c>
      <c r="W174" s="3" t="n">
        <v>0</v>
      </c>
      <c r="X174" s="3" t="n">
        <f aca="false">IF(ISNUMBER(W174),W174*3.412142,"")</f>
        <v>0</v>
      </c>
      <c r="Y174" s="3" t="s">
        <v>296</v>
      </c>
      <c r="Z174" s="4" t="s">
        <v>713</v>
      </c>
      <c r="AB174" s="7"/>
      <c r="AC174" s="7"/>
      <c r="AD174" s="7"/>
      <c r="AE174" s="7"/>
    </row>
    <row r="175" s="1" customFormat="true" ht="15.75" hidden="false" customHeight="true" outlineLevel="0" collapsed="false">
      <c r="A175" s="1" t="s">
        <v>287</v>
      </c>
      <c r="B175" s="1" t="s">
        <v>27</v>
      </c>
      <c r="C175" s="1" t="s">
        <v>740</v>
      </c>
      <c r="D175" s="1" t="s">
        <v>741</v>
      </c>
      <c r="E175" s="1" t="n">
        <v>410</v>
      </c>
      <c r="J175" s="6" t="s">
        <v>30</v>
      </c>
      <c r="K175" s="10" t="s">
        <v>710</v>
      </c>
      <c r="L175" s="3" t="s">
        <v>734</v>
      </c>
      <c r="M175" s="3"/>
      <c r="N175" s="3"/>
      <c r="O175" s="3" t="s">
        <v>731</v>
      </c>
      <c r="P175" s="3" t="s">
        <v>735</v>
      </c>
      <c r="Q175" s="3" t="s">
        <v>294</v>
      </c>
      <c r="R175" s="3" t="s">
        <v>146</v>
      </c>
      <c r="S175" s="3" t="s">
        <v>147</v>
      </c>
      <c r="T175" s="3" t="s">
        <v>148</v>
      </c>
      <c r="U175" s="3" t="s">
        <v>295</v>
      </c>
      <c r="V175" s="3" t="s">
        <v>295</v>
      </c>
      <c r="W175" s="3" t="n">
        <v>0</v>
      </c>
      <c r="X175" s="3" t="n">
        <f aca="false">IF(ISNUMBER(W175),W175*3.412142,"")</f>
        <v>0</v>
      </c>
      <c r="Y175" s="3" t="s">
        <v>296</v>
      </c>
      <c r="Z175" s="4" t="s">
        <v>713</v>
      </c>
      <c r="AB175" s="7"/>
      <c r="AC175" s="7"/>
      <c r="AD175" s="7"/>
      <c r="AE175" s="7"/>
    </row>
    <row r="176" s="1" customFormat="true" ht="15.75" hidden="false" customHeight="true" outlineLevel="0" collapsed="false">
      <c r="A176" s="1" t="s">
        <v>287</v>
      </c>
      <c r="B176" s="1" t="s">
        <v>27</v>
      </c>
      <c r="C176" s="1" t="s">
        <v>742</v>
      </c>
      <c r="D176" s="1" t="s">
        <v>743</v>
      </c>
      <c r="E176" s="1" t="n">
        <v>1210</v>
      </c>
      <c r="J176" s="6" t="s">
        <v>30</v>
      </c>
      <c r="K176" s="10" t="s">
        <v>744</v>
      </c>
      <c r="L176" s="3" t="s">
        <v>291</v>
      </c>
      <c r="M176" s="3" t="s">
        <v>291</v>
      </c>
      <c r="N176" s="3" t="s">
        <v>745</v>
      </c>
      <c r="O176" s="3"/>
      <c r="P176" s="3" t="s">
        <v>64</v>
      </c>
      <c r="Q176" s="3" t="s">
        <v>294</v>
      </c>
      <c r="R176" s="3" t="s">
        <v>146</v>
      </c>
      <c r="S176" s="3" t="s">
        <v>147</v>
      </c>
      <c r="T176" s="3" t="s">
        <v>148</v>
      </c>
      <c r="U176" s="3" t="s">
        <v>295</v>
      </c>
      <c r="V176" s="3" t="s">
        <v>295</v>
      </c>
      <c r="W176" s="3" t="n">
        <v>0</v>
      </c>
      <c r="X176" s="3" t="n">
        <f aca="false">IF(ISNUMBER(W176),W176*3.412142,"")</f>
        <v>0</v>
      </c>
      <c r="Y176" s="3" t="s">
        <v>296</v>
      </c>
      <c r="Z176" s="4"/>
      <c r="AB176" s="7"/>
      <c r="AC176" s="7"/>
      <c r="AD176" s="7"/>
      <c r="AE176" s="7"/>
    </row>
    <row r="177" s="1" customFormat="true" ht="15.75" hidden="false" customHeight="true" outlineLevel="0" collapsed="false">
      <c r="A177" s="1" t="s">
        <v>287</v>
      </c>
      <c r="B177" s="1" t="s">
        <v>27</v>
      </c>
      <c r="C177" s="1" t="s">
        <v>746</v>
      </c>
      <c r="D177" s="1" t="s">
        <v>747</v>
      </c>
      <c r="E177" s="1" t="n">
        <v>1140</v>
      </c>
      <c r="J177" s="6" t="s">
        <v>30</v>
      </c>
      <c r="K177" s="10" t="s">
        <v>748</v>
      </c>
      <c r="L177" s="3" t="s">
        <v>749</v>
      </c>
      <c r="M177" s="3"/>
      <c r="N177" s="3"/>
      <c r="O177" s="3" t="s">
        <v>750</v>
      </c>
      <c r="P177" s="3" t="s">
        <v>751</v>
      </c>
      <c r="Q177" s="3" t="s">
        <v>294</v>
      </c>
      <c r="R177" s="3" t="s">
        <v>146</v>
      </c>
      <c r="S177" s="3" t="s">
        <v>147</v>
      </c>
      <c r="T177" s="3" t="s">
        <v>148</v>
      </c>
      <c r="U177" s="3" t="s">
        <v>169</v>
      </c>
      <c r="V177" s="3" t="s">
        <v>170</v>
      </c>
      <c r="W177" s="3" t="n">
        <v>25.5</v>
      </c>
      <c r="X177" s="3" t="n">
        <f aca="false">IF(ISNUMBER(W177),W177*3.412142,"")</f>
        <v>87.009621</v>
      </c>
      <c r="Y177" s="3" t="s">
        <v>262</v>
      </c>
      <c r="Z177" s="4" t="s">
        <v>752</v>
      </c>
      <c r="AB177" s="7"/>
      <c r="AC177" s="7"/>
      <c r="AD177" s="7"/>
      <c r="AE177" s="7"/>
    </row>
    <row r="178" s="1" customFormat="true" ht="15.75" hidden="false" customHeight="true" outlineLevel="0" collapsed="false">
      <c r="A178" s="1" t="s">
        <v>287</v>
      </c>
      <c r="B178" s="1" t="s">
        <v>27</v>
      </c>
      <c r="C178" s="1" t="s">
        <v>753</v>
      </c>
      <c r="D178" s="1" t="s">
        <v>754</v>
      </c>
      <c r="E178" s="1" t="n">
        <v>390</v>
      </c>
      <c r="J178" s="6" t="s">
        <v>30</v>
      </c>
      <c r="K178" s="9" t="s">
        <v>755</v>
      </c>
      <c r="L178" s="3" t="s">
        <v>756</v>
      </c>
      <c r="M178" s="3"/>
      <c r="N178" s="3"/>
      <c r="O178" s="3" t="s">
        <v>757</v>
      </c>
      <c r="P178" s="3" t="s">
        <v>197</v>
      </c>
      <c r="Q178" s="3" t="s">
        <v>294</v>
      </c>
      <c r="R178" s="3" t="s">
        <v>146</v>
      </c>
      <c r="S178" s="3" t="s">
        <v>147</v>
      </c>
      <c r="T178" s="3" t="s">
        <v>148</v>
      </c>
      <c r="U178" s="3" t="s">
        <v>295</v>
      </c>
      <c r="V178" s="3" t="s">
        <v>295</v>
      </c>
      <c r="W178" s="3" t="n">
        <v>0</v>
      </c>
      <c r="X178" s="3" t="n">
        <f aca="false">IF(ISNUMBER(W178),W178*3.412142,"")</f>
        <v>0</v>
      </c>
      <c r="Y178" s="3" t="s">
        <v>296</v>
      </c>
      <c r="Z178" s="4" t="s">
        <v>758</v>
      </c>
      <c r="AB178" s="7"/>
      <c r="AC178" s="7"/>
      <c r="AD178" s="7"/>
      <c r="AE178" s="7"/>
    </row>
    <row r="179" s="1" customFormat="true" ht="15.75" hidden="false" customHeight="true" outlineLevel="0" collapsed="false">
      <c r="A179" s="1" t="s">
        <v>287</v>
      </c>
      <c r="B179" s="1" t="s">
        <v>27</v>
      </c>
      <c r="C179" s="1" t="s">
        <v>759</v>
      </c>
      <c r="D179" s="1" t="s">
        <v>760</v>
      </c>
      <c r="E179" s="1" t="n">
        <v>960</v>
      </c>
      <c r="J179" s="6" t="s">
        <v>30</v>
      </c>
      <c r="K179" s="9" t="s">
        <v>755</v>
      </c>
      <c r="L179" s="3" t="s">
        <v>761</v>
      </c>
      <c r="M179" s="3"/>
      <c r="N179" s="3"/>
      <c r="O179" s="3" t="s">
        <v>762</v>
      </c>
      <c r="P179" s="3" t="s">
        <v>302</v>
      </c>
      <c r="Q179" s="3" t="s">
        <v>294</v>
      </c>
      <c r="R179" s="3" t="s">
        <v>146</v>
      </c>
      <c r="S179" s="3" t="s">
        <v>147</v>
      </c>
      <c r="T179" s="3" t="s">
        <v>148</v>
      </c>
      <c r="U179" s="3" t="s">
        <v>295</v>
      </c>
      <c r="V179" s="3" t="s">
        <v>295</v>
      </c>
      <c r="W179" s="3" t="n">
        <v>0</v>
      </c>
      <c r="X179" s="3" t="n">
        <f aca="false">IF(ISNUMBER(W179),W179*3.412142,"")</f>
        <v>0</v>
      </c>
      <c r="Y179" s="3" t="s">
        <v>296</v>
      </c>
      <c r="Z179" s="4" t="s">
        <v>763</v>
      </c>
      <c r="AB179" s="7"/>
      <c r="AC179" s="7"/>
      <c r="AD179" s="7"/>
      <c r="AE179" s="7"/>
    </row>
    <row r="180" s="1" customFormat="true" ht="15.75" hidden="false" customHeight="true" outlineLevel="0" collapsed="false">
      <c r="A180" s="1" t="s">
        <v>287</v>
      </c>
      <c r="B180" s="1" t="s">
        <v>27</v>
      </c>
      <c r="C180" s="1" t="s">
        <v>764</v>
      </c>
      <c r="D180" s="1" t="s">
        <v>765</v>
      </c>
      <c r="E180" s="1" t="n">
        <v>1360</v>
      </c>
      <c r="J180" s="6" t="s">
        <v>30</v>
      </c>
      <c r="K180" s="9" t="s">
        <v>755</v>
      </c>
      <c r="L180" s="3" t="s">
        <v>766</v>
      </c>
      <c r="M180" s="3"/>
      <c r="N180" s="3"/>
      <c r="O180" s="3" t="s">
        <v>767</v>
      </c>
      <c r="P180" s="3" t="s">
        <v>768</v>
      </c>
      <c r="Q180" s="3" t="s">
        <v>294</v>
      </c>
      <c r="R180" s="3" t="s">
        <v>146</v>
      </c>
      <c r="S180" s="3" t="s">
        <v>147</v>
      </c>
      <c r="T180" s="3" t="s">
        <v>148</v>
      </c>
      <c r="U180" s="3" t="s">
        <v>295</v>
      </c>
      <c r="V180" s="3" t="s">
        <v>295</v>
      </c>
      <c r="W180" s="3" t="n">
        <v>0</v>
      </c>
      <c r="X180" s="3" t="n">
        <f aca="false">IF(ISNUMBER(W180),W180*3.412142,"")</f>
        <v>0</v>
      </c>
      <c r="Y180" s="3" t="s">
        <v>296</v>
      </c>
      <c r="Z180" s="4" t="s">
        <v>769</v>
      </c>
      <c r="AB180" s="7"/>
      <c r="AC180" s="7"/>
      <c r="AD180" s="7"/>
      <c r="AE180" s="7"/>
    </row>
    <row r="181" s="1" customFormat="true" ht="15.75" hidden="false" customHeight="true" outlineLevel="0" collapsed="false">
      <c r="A181" s="1" t="s">
        <v>287</v>
      </c>
      <c r="B181" s="1" t="s">
        <v>27</v>
      </c>
      <c r="C181" s="1" t="s">
        <v>770</v>
      </c>
      <c r="D181" s="1" t="s">
        <v>771</v>
      </c>
      <c r="E181" s="1" t="n">
        <v>370</v>
      </c>
      <c r="J181" s="6" t="s">
        <v>30</v>
      </c>
      <c r="K181" s="9" t="s">
        <v>772</v>
      </c>
      <c r="L181" s="3" t="s">
        <v>773</v>
      </c>
      <c r="M181" s="3" t="s">
        <v>774</v>
      </c>
      <c r="N181" s="3" t="s">
        <v>775</v>
      </c>
      <c r="O181" s="3"/>
      <c r="P181" s="3" t="s">
        <v>261</v>
      </c>
      <c r="Q181" s="3" t="s">
        <v>294</v>
      </c>
      <c r="R181" s="3" t="s">
        <v>146</v>
      </c>
      <c r="S181" s="3" t="s">
        <v>147</v>
      </c>
      <c r="T181" s="3" t="s">
        <v>148</v>
      </c>
      <c r="U181" s="3" t="s">
        <v>295</v>
      </c>
      <c r="V181" s="3" t="s">
        <v>295</v>
      </c>
      <c r="W181" s="3" t="n">
        <v>0</v>
      </c>
      <c r="X181" s="3" t="n">
        <f aca="false">IF(ISNUMBER(W181),W181*3.412142,"")</f>
        <v>0</v>
      </c>
      <c r="Y181" s="3" t="s">
        <v>296</v>
      </c>
      <c r="Z181" s="4" t="s">
        <v>776</v>
      </c>
      <c r="AB181" s="7"/>
      <c r="AC181" s="7"/>
      <c r="AD181" s="7"/>
      <c r="AE181" s="7"/>
    </row>
    <row r="182" s="1" customFormat="true" ht="15.75" hidden="false" customHeight="true" outlineLevel="0" collapsed="false">
      <c r="A182" s="1" t="s">
        <v>287</v>
      </c>
      <c r="B182" s="1" t="s">
        <v>27</v>
      </c>
      <c r="C182" s="1" t="s">
        <v>777</v>
      </c>
      <c r="D182" s="1" t="s">
        <v>778</v>
      </c>
      <c r="E182" s="1" t="n">
        <v>520</v>
      </c>
      <c r="J182" s="6" t="s">
        <v>30</v>
      </c>
      <c r="K182" s="9" t="s">
        <v>779</v>
      </c>
      <c r="L182" s="3" t="s">
        <v>110</v>
      </c>
      <c r="M182" s="3" t="s">
        <v>720</v>
      </c>
      <c r="N182" s="3" t="s">
        <v>692</v>
      </c>
      <c r="O182" s="3"/>
      <c r="P182" s="3" t="s">
        <v>111</v>
      </c>
      <c r="Q182" s="3" t="s">
        <v>294</v>
      </c>
      <c r="R182" s="3" t="s">
        <v>146</v>
      </c>
      <c r="S182" s="3" t="s">
        <v>147</v>
      </c>
      <c r="T182" s="3" t="s">
        <v>148</v>
      </c>
      <c r="U182" s="3" t="s">
        <v>295</v>
      </c>
      <c r="V182" s="3" t="s">
        <v>295</v>
      </c>
      <c r="W182" s="3" t="n">
        <v>0</v>
      </c>
      <c r="X182" s="3" t="n">
        <f aca="false">IF(ISNUMBER(W182),W182*3.412142,"")</f>
        <v>0</v>
      </c>
      <c r="Y182" s="3" t="s">
        <v>296</v>
      </c>
      <c r="Z182" s="4" t="s">
        <v>780</v>
      </c>
      <c r="AB182" s="7"/>
      <c r="AC182" s="7"/>
      <c r="AD182" s="7"/>
      <c r="AE182" s="7"/>
    </row>
    <row r="183" s="1" customFormat="true" ht="15.75" hidden="false" customHeight="true" outlineLevel="0" collapsed="false">
      <c r="A183" s="1" t="s">
        <v>287</v>
      </c>
      <c r="B183" s="1" t="s">
        <v>27</v>
      </c>
      <c r="C183" s="1" t="s">
        <v>781</v>
      </c>
      <c r="D183" s="1" t="s">
        <v>782</v>
      </c>
      <c r="E183" s="1" t="n">
        <v>870</v>
      </c>
      <c r="J183" s="6" t="s">
        <v>30</v>
      </c>
      <c r="K183" s="9" t="s">
        <v>779</v>
      </c>
      <c r="L183" s="3" t="s">
        <v>63</v>
      </c>
      <c r="M183" s="3" t="s">
        <v>115</v>
      </c>
      <c r="N183" s="3" t="s">
        <v>783</v>
      </c>
      <c r="O183" s="3"/>
      <c r="P183" s="3" t="s">
        <v>707</v>
      </c>
      <c r="Q183" s="3" t="s">
        <v>294</v>
      </c>
      <c r="R183" s="3" t="s">
        <v>146</v>
      </c>
      <c r="S183" s="3" t="s">
        <v>147</v>
      </c>
      <c r="T183" s="3" t="s">
        <v>148</v>
      </c>
      <c r="U183" s="3" t="s">
        <v>295</v>
      </c>
      <c r="V183" s="3" t="s">
        <v>295</v>
      </c>
      <c r="W183" s="3" t="n">
        <v>0</v>
      </c>
      <c r="X183" s="3" t="n">
        <f aca="false">IF(ISNUMBER(W183),W183*3.412142,"")</f>
        <v>0</v>
      </c>
      <c r="Y183" s="3" t="s">
        <v>296</v>
      </c>
      <c r="Z183" s="4" t="s">
        <v>784</v>
      </c>
      <c r="AB183" s="7"/>
      <c r="AC183" s="7"/>
      <c r="AD183" s="7"/>
      <c r="AE183" s="7"/>
    </row>
    <row r="184" s="1" customFormat="true" ht="15.75" hidden="false" customHeight="true" outlineLevel="0" collapsed="false">
      <c r="A184" s="1" t="s">
        <v>785</v>
      </c>
      <c r="B184" s="1" t="s">
        <v>27</v>
      </c>
      <c r="C184" s="1" t="s">
        <v>786</v>
      </c>
      <c r="D184" s="1" t="s">
        <v>787</v>
      </c>
      <c r="E184" s="1" t="n">
        <v>640</v>
      </c>
      <c r="J184" s="6" t="s">
        <v>30</v>
      </c>
      <c r="K184" s="9" t="s">
        <v>779</v>
      </c>
      <c r="L184" s="3" t="s">
        <v>110</v>
      </c>
      <c r="M184" s="3" t="s">
        <v>788</v>
      </c>
      <c r="N184" s="3" t="s">
        <v>788</v>
      </c>
      <c r="O184" s="3"/>
      <c r="P184" s="3" t="s">
        <v>93</v>
      </c>
      <c r="Q184" s="3" t="s">
        <v>294</v>
      </c>
      <c r="R184" s="3" t="s">
        <v>146</v>
      </c>
      <c r="S184" s="3" t="s">
        <v>147</v>
      </c>
      <c r="T184" s="3" t="s">
        <v>148</v>
      </c>
      <c r="U184" s="3" t="s">
        <v>295</v>
      </c>
      <c r="V184" s="3" t="s">
        <v>295</v>
      </c>
      <c r="W184" s="3" t="n">
        <v>0</v>
      </c>
      <c r="X184" s="3" t="n">
        <f aca="false">IF(ISNUMBER(W184),W184*3.412142,"")</f>
        <v>0</v>
      </c>
      <c r="Y184" s="3" t="s">
        <v>296</v>
      </c>
      <c r="Z184" s="4" t="s">
        <v>789</v>
      </c>
      <c r="AB184" s="7"/>
      <c r="AC184" s="7"/>
      <c r="AD184" s="7"/>
      <c r="AE184" s="7"/>
    </row>
    <row r="185" s="1" customFormat="true" ht="15.75" hidden="false" customHeight="true" outlineLevel="0" collapsed="false">
      <c r="A185" s="1" t="s">
        <v>118</v>
      </c>
      <c r="B185" s="1" t="s">
        <v>27</v>
      </c>
      <c r="C185" s="1" t="s">
        <v>790</v>
      </c>
      <c r="D185" s="1" t="s">
        <v>791</v>
      </c>
      <c r="E185" s="1" t="n">
        <v>920</v>
      </c>
      <c r="J185" s="6" t="s">
        <v>30</v>
      </c>
      <c r="K185" s="9" t="s">
        <v>792</v>
      </c>
      <c r="L185" s="3" t="s">
        <v>46</v>
      </c>
      <c r="M185" s="3" t="s">
        <v>122</v>
      </c>
      <c r="N185" s="3" t="s">
        <v>48</v>
      </c>
      <c r="O185" s="3"/>
      <c r="P185" s="3" t="s">
        <v>123</v>
      </c>
      <c r="Q185" s="3" t="s">
        <v>36</v>
      </c>
      <c r="R185" s="3" t="s">
        <v>37</v>
      </c>
      <c r="S185" s="3" t="s">
        <v>38</v>
      </c>
      <c r="T185" s="3" t="s">
        <v>39</v>
      </c>
      <c r="U185" s="3" t="s">
        <v>124</v>
      </c>
      <c r="V185" s="3" t="s">
        <v>125</v>
      </c>
      <c r="W185" s="3" t="n">
        <v>12</v>
      </c>
      <c r="X185" s="3" t="n">
        <f aca="false">IF(ISNUMBER(W185),W185*3.412142,"")</f>
        <v>40.945704</v>
      </c>
      <c r="Y185" s="3" t="s">
        <v>126</v>
      </c>
      <c r="Z185" s="4"/>
      <c r="AB185" s="7"/>
      <c r="AC185" s="7"/>
      <c r="AD185" s="7"/>
      <c r="AE185" s="7"/>
    </row>
    <row r="186" s="1" customFormat="true" ht="15.75" hidden="false" customHeight="true" outlineLevel="0" collapsed="false">
      <c r="A186" s="1" t="s">
        <v>118</v>
      </c>
      <c r="B186" s="1" t="s">
        <v>27</v>
      </c>
      <c r="C186" s="1" t="s">
        <v>793</v>
      </c>
      <c r="D186" s="1" t="s">
        <v>794</v>
      </c>
      <c r="E186" s="1" t="n">
        <v>920</v>
      </c>
      <c r="J186" s="6" t="s">
        <v>30</v>
      </c>
      <c r="K186" s="9" t="s">
        <v>795</v>
      </c>
      <c r="L186" s="3" t="s">
        <v>46</v>
      </c>
      <c r="M186" s="3" t="s">
        <v>122</v>
      </c>
      <c r="N186" s="3" t="s">
        <v>48</v>
      </c>
      <c r="O186" s="3"/>
      <c r="P186" s="3" t="s">
        <v>123</v>
      </c>
      <c r="Q186" s="3" t="s">
        <v>36</v>
      </c>
      <c r="R186" s="3" t="s">
        <v>37</v>
      </c>
      <c r="S186" s="3" t="s">
        <v>38</v>
      </c>
      <c r="T186" s="3" t="s">
        <v>39</v>
      </c>
      <c r="U186" s="3" t="s">
        <v>124</v>
      </c>
      <c r="V186" s="3" t="s">
        <v>125</v>
      </c>
      <c r="W186" s="3" t="n">
        <v>12</v>
      </c>
      <c r="X186" s="3" t="n">
        <f aca="false">IF(ISNUMBER(W186),W186*3.412142,"")</f>
        <v>40.945704</v>
      </c>
      <c r="Y186" s="3" t="s">
        <v>126</v>
      </c>
      <c r="Z186" s="4"/>
      <c r="AB186" s="7"/>
      <c r="AC186" s="7"/>
      <c r="AD186" s="7"/>
      <c r="AE186" s="7"/>
    </row>
    <row r="187" s="1" customFormat="true" ht="15.75" hidden="false" customHeight="true" outlineLevel="0" collapsed="false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 t="e">
        <f aca="false">#ERR520!</f>
        <v>#N/A</v>
      </c>
      <c r="Y187" s="7"/>
      <c r="Z187" s="7"/>
      <c r="AA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</row>
    <row r="1048494" customFormat="false" ht="12.75" hidden="false" customHeight="true" outlineLevel="0" collapsed="false"/>
    <row r="1048495" customFormat="false" ht="12.75" hidden="false" customHeight="true" outlineLevel="0" collapsed="false"/>
    <row r="1048496" customFormat="false" ht="12.75" hidden="false" customHeight="true" outlineLevel="0" collapsed="false"/>
    <row r="1048497" customFormat="false" ht="12.75" hidden="false" customHeight="true" outlineLevel="0" collapsed="false"/>
    <row r="1048498" customFormat="false" ht="12.75" hidden="false" customHeight="true" outlineLevel="0" collapsed="false"/>
    <row r="1048499" customFormat="false" ht="12.75" hidden="false" customHeight="true" outlineLevel="0" collapsed="false"/>
    <row r="1048500" customFormat="false" ht="12.75" hidden="false" customHeight="true" outlineLevel="0" collapsed="false"/>
    <row r="1048501" customFormat="false" ht="12.75" hidden="false" customHeight="true" outlineLevel="0" collapsed="false"/>
    <row r="1048502" customFormat="false" ht="12.75" hidden="false" customHeight="true" outlineLevel="0" collapsed="false"/>
    <row r="1048503" customFormat="false" ht="12.75" hidden="false" customHeight="true" outlineLevel="0" collapsed="false"/>
    <row r="1048504" customFormat="false" ht="12.75" hidden="false" customHeight="true" outlineLevel="0" collapsed="false"/>
    <row r="1048505" customFormat="false" ht="12.75" hidden="false" customHeight="true" outlineLevel="0" collapsed="false"/>
    <row r="1048506" customFormat="false" ht="12.75" hidden="false" customHeight="true" outlineLevel="0" collapsed="false"/>
    <row r="1048507" customFormat="false" ht="12.75" hidden="false" customHeight="true" outlineLevel="0" collapsed="false"/>
    <row r="1048508" customFormat="false" ht="12.75" hidden="false" customHeight="true" outlineLevel="0" collapsed="false"/>
    <row r="1048509" customFormat="false" ht="12.75" hidden="false" customHeight="true" outlineLevel="0" collapsed="false"/>
    <row r="1048510" customFormat="false" ht="12.75" hidden="false" customHeight="true" outlineLevel="0" collapsed="false"/>
    <row r="1048511" customFormat="false" ht="12.7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2026-08-15T20:30:07Z</dcterms:created>
  <dc:creator>openpyxl</dc:creator>
  <dc:description/>
  <dc:language>en-US</dc:language>
  <cp:lastModifiedBy/>
  <dcterms:modified xsi:type="dcterms:W3CDTF">2026-09-04T18:12:44Z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